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89B207F1D66650E/Documents/"/>
    </mc:Choice>
  </mc:AlternateContent>
  <xr:revisionPtr revIDLastSave="753" documentId="8_{7CDE992E-4ACA-40B9-B513-56386D98D2E7}" xr6:coauthVersionLast="47" xr6:coauthVersionMax="47" xr10:uidLastSave="{EE0E7419-3926-4C8C-8553-3DEB19599436}"/>
  <bookViews>
    <workbookView xWindow="-120" yWindow="-120" windowWidth="20730" windowHeight="11040" activeTab="1" xr2:uid="{CAE1CF32-8A95-4FCF-9758-13CD072B4AEC}"/>
  </bookViews>
  <sheets>
    <sheet name="Pivot Report" sheetId="1" r:id="rId1"/>
    <sheet name="Dashboard" sheetId="2" r:id="rId2"/>
    <sheet name="Average satisfaction score" sheetId="5" r:id="rId3"/>
    <sheet name="Average wait time daily trend" sheetId="4" r:id="rId4"/>
    <sheet name="Daily ER no of patients" sheetId="3" r:id="rId5"/>
  </sheets>
  <definedNames>
    <definedName name="Slicer_Date__Month">#N/A</definedName>
    <definedName name="Slicer_Date__Year">#N/A</definedName>
  </definedNames>
  <calcPr calcId="191029"/>
  <pivotCaches>
    <pivotCache cacheId="1068" r:id="rId6"/>
    <pivotCache cacheId="1071" r:id="rId7"/>
    <pivotCache cacheId="1074" r:id="rId8"/>
    <pivotCache cacheId="1077" r:id="rId9"/>
    <pivotCache cacheId="1080" r:id="rId10"/>
    <pivotCache cacheId="1083" r:id="rId11"/>
    <pivotCache cacheId="1086" r:id="rId12"/>
    <pivotCache cacheId="1089" r:id="rId13"/>
    <pivotCache cacheId="1092" r:id="rId14"/>
    <pivotCache cacheId="1095" r:id="rId15"/>
    <pivotCache cacheId="1098" r:id="rId16"/>
    <pivotCache cacheId="1101" r:id="rId17"/>
  </pivotCaches>
  <fileRecoveryPr repairLoad="1"/>
  <extLst>
    <ext xmlns:x14="http://schemas.microsoft.com/office/spreadsheetml/2009/9/main" uri="{876F7934-8845-4945-9796-88D515C7AA90}">
      <x14:pivotCaches>
        <pivotCache cacheId="67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1efccde-2d6e-45cf-8064-a19f6938b12b" name="Hospital Emergency Room Data" connection="Query - Hospital Emergency Room Data"/>
          <x15:modelTable id="Calender_Table_4abdfc92-bb76-40f3-a218-d352bc81434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B48" i="1"/>
  <c r="C48" i="1"/>
  <c r="A48" i="1"/>
  <c r="C47"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912720-A483-4307-A9F8-C2281C3F993C}" name="Query - Calender_Table" description="Connection to the 'Calender_Table' query in the workbook." type="100" refreshedVersion="8" minRefreshableVersion="5">
    <extLst>
      <ext xmlns:x15="http://schemas.microsoft.com/office/spreadsheetml/2010/11/main" uri="{DE250136-89BD-433C-8126-D09CA5730AF9}">
        <x15:connection id="6e713916-d60e-447b-9f4b-4190ce2e0b29"/>
      </ext>
    </extLst>
  </connection>
  <connection id="2" xr16:uid="{A116F2B0-1C33-4B6E-AA72-FB24BB9DCBE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a46dd9b-9ea2-4222-9c63-158427e88dad"/>
      </ext>
    </extLst>
  </connection>
  <connection id="3" xr16:uid="{452DE137-726E-4060-BBD1-4D04B2D1F0B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<sst xmlns="http://schemas.openxmlformats.org/spreadsheetml/2006/main" count="161" uniqueCount="80">
  <si>
    <t>Distinct Count of Patient Id</t>
  </si>
  <si>
    <t>No. of patients</t>
  </si>
  <si>
    <t>Average of Patient Waittime</t>
  </si>
  <si>
    <t>Average of Patient Satisfaction Score</t>
  </si>
  <si>
    <t>Row Labels</t>
  </si>
  <si>
    <t>Grand Total</t>
  </si>
  <si>
    <t>Showing daily trends with an area sparkline to spot pattenrs like busy days or  seasonal trends</t>
  </si>
  <si>
    <t>Daily trends of no. of patients</t>
  </si>
  <si>
    <t>Average wait time</t>
  </si>
  <si>
    <t>Aveeage patients satisfactions score</t>
  </si>
  <si>
    <t>Area chart to show trends, spot drops in satisfaction anf link them to busy time and challenges</t>
  </si>
  <si>
    <t>Showing a daily trend with an area sparkline to spott patterns like busy days or seasonal trends.</t>
  </si>
  <si>
    <t>Chart to track daily changes and highlight days with longer wait times that mightn need improvements</t>
  </si>
  <si>
    <t>Count of Patient Admission Flag</t>
  </si>
  <si>
    <t>Admitted</t>
  </si>
  <si>
    <t>Not Admitted</t>
  </si>
  <si>
    <t>Count of Patient Admission Flag2</t>
  </si>
  <si>
    <t>Admission status</t>
  </si>
  <si>
    <t>%Status</t>
  </si>
  <si>
    <t>Chart</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</si>
  <si>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</si>
  <si>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</si>
  <si>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</si>
  <si>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</si>
  <si>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</si>
  <si>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</si>
  <si>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</si>
  <si>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</si>
  <si>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</si>
  <si>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</si>
  <si>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</si>
  <si>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</si>
  <si>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</si>
  <si>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</si>
  <si>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</si>
  <si>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</si>
  <si>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</si>
  <si>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</si>
  <si>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</si>
  <si>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</si>
  <si>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</si>
  <si>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</si>
  <si>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</si>
  <si>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</si>
  <si>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</si>
  <si>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</si>
  <si>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</si>
  <si>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</si>
  <si>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</si>
  <si>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</si>
  <si>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</si>
  <si>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 xml:space="preserve"> No of Patients</t>
  </si>
  <si>
    <t>0-09</t>
  </si>
  <si>
    <t>10-19</t>
  </si>
  <si>
    <t>20-29</t>
  </si>
  <si>
    <t>30-39</t>
  </si>
  <si>
    <t>40-49</t>
  </si>
  <si>
    <t>50-59</t>
  </si>
  <si>
    <t>60-69</t>
  </si>
  <si>
    <t>70-79</t>
  </si>
  <si>
    <t>Count of Age Group</t>
  </si>
  <si>
    <t>Age group wise analysis</t>
  </si>
  <si>
    <t>Delay</t>
  </si>
  <si>
    <t>Ontime</t>
  </si>
  <si>
    <t>Count of Patient Attend Status</t>
  </si>
  <si>
    <t>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</si>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</sst>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Aptos Narrow"/>
      <family val="2"/>
      <scheme val="minor"/>
    </font>
    <font>
      <b/>
      <sz val="24"/>
      <color theme="1"/>
      <name val="Aptos Narrow"/>
      <family val="2"/>
      <scheme val="minor"/>
    </font>
    <font>
      <sz val="11"/>
      <color theme="1"/>
      <name val="Aptos Narrow"/>
      <family val="2"/>
      <scheme val="minor"/>
    </font>
    <font>
      <b/>
      <sz val="11"/>
      <color rgb="FF000000"/>
      <name val="Aptos Narrow"/>
      <family val="2"/>
      <scheme val="minor"/>
    </font>
  </fonts>
  <fills count="7">
    <fill>
      <patternFill patternType="none"/>
    </fill>
    <fill>
      <patternFill patternType="gray125"/>
    </fill>
    <fill>
      <patternFill patternType="solid">
        <fgColor theme="1" tint="0.499984740745262"/>
        <bgColor indexed="64"/>
      </patternFill>
    </fill>
    <fill>
      <patternFill patternType="solid">
        <fgColor theme="2" tint="-9.9978637043366805E-2"/>
        <bgColor indexed="64"/>
      </patternFill>
    </fill>
    <fill>
      <patternFill patternType="solid">
        <fgColor theme="2"/>
        <bgColor indexed="64"/>
      </patternFill>
    </fill>
    <fill>
      <patternFill patternType="solid">
        <fgColor rgb="FF0070C0"/>
        <bgColor indexed="64"/>
      </patternFill>
    </fill>
    <fill>
      <patternFill patternType="solid">
        <fgColor theme="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xf numFmtId="0" fontId="1" fillId="3" borderId="0" xfId="0" applyFont="1" applyFill="1"/>
    <xf numFmtId="0" fontId="4" fillId="4" borderId="0" xfId="0" applyFont="1" applyFill="1"/>
    <xf numFmtId="0" fontId="0" fillId="4" borderId="0" xfId="0" applyFill="1"/>
    <xf numFmtId="0" fontId="0" fillId="0" borderId="0" xfId="0" applyNumberFormat="1"/>
    <xf numFmtId="1" fontId="0" fillId="0" borderId="0" xfId="0" applyNumberFormat="1"/>
    <xf numFmtId="10" fontId="0" fillId="0" borderId="0" xfId="0" applyNumberFormat="1"/>
    <xf numFmtId="9" fontId="0" fillId="0" borderId="0" xfId="1" applyFont="1"/>
    <xf numFmtId="0" fontId="0" fillId="5" borderId="0" xfId="0" applyFill="1" applyAlignment="1"/>
    <xf numFmtId="0" fontId="0" fillId="4" borderId="0" xfId="0" applyFill="1" applyAlignment="1">
      <alignment horizontal="center"/>
    </xf>
    <xf numFmtId="1" fontId="0" fillId="4" borderId="0" xfId="0" applyNumberFormat="1" applyFill="1" applyAlignment="1">
      <alignment horizontal="center"/>
    </xf>
    <xf numFmtId="9" fontId="0" fillId="4" borderId="0" xfId="1" applyFont="1" applyFill="1" applyAlignment="1">
      <alignment horizontal="center"/>
    </xf>
    <xf numFmtId="0" fontId="0" fillId="6" borderId="0" xfId="0" applyFill="1"/>
  </cellXfs>
  <cellStyles count="2">
    <cellStyle name="Normal" xfId="0" builtinId="0"/>
    <cellStyle name="Percent" xfId="1" builtinId="5"/>
  </cellStyles>
  <dxfs count="137">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5"/>
        </bottom>
        <vertical/>
        <horizontal/>
      </border>
    </dxf>
    <dxf>
      <font>
        <sz val="7"/>
        <color theme="1"/>
      </font>
      <fill>
        <patternFill patternType="solid">
          <bgColor theme="2"/>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s>
  <tableStyles count="1" defaultTableStyle="TableStyleMedium2" defaultPivotStyle="PivotStyleLight16">
    <tableStyle name="My style" pivot="0" table="0" count="10" xr9:uid="{D7313A52-089C-4DFD-B521-7AE78D0225DA}">
      <tableStyleElement type="wholeTable" dxfId="92"/>
      <tableStyleElement type="headerRow" dxfId="91"/>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5A08A8BE-24D1-4FB0-9242-7A1AFE683B13}" type="CELLRANGE">
                  <a:rPr lang="en-US"/>
                  <a:pPr>
                    <a:defRPr sz="700" b="1"/>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1FA4C5BA-A7D6-4A08-983C-CE87E6539C08}" type="CELLRANGE">
                  <a:rPr lang="en-US"/>
                  <a:pPr>
                    <a:defRPr sz="700" b="1"/>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1.8939459720593035E-2"/>
          <c:y val="7.788368559193258E-2"/>
          <c:w val="0.97469818381187034"/>
          <c:h val="0.87613901710562048"/>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Lbls>
            <c:dLbl>
              <c:idx val="0"/>
              <c:tx>
                <c:rich>
                  <a:bodyPr/>
                  <a:lstStyle/>
                  <a:p>
                    <a:fld id="{5A08A8BE-24D1-4FB0-9242-7A1AFE683B1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1FA4C5BA-A7D6-4A08-983C-CE87E6539C0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253</c:v>
                </c:pt>
                <c:pt idx="1">
                  <c:v>253</c:v>
                </c:pt>
              </c:numCache>
            </c:numRef>
          </c:val>
          <c:extLst>
            <c:ext xmlns:c16="http://schemas.microsoft.com/office/drawing/2014/chart" uri="{C3380CC4-5D6E-409C-BE32-E72D297353CC}">
              <c16:uniqueId val="{00000007-2784-4EA9-987E-28C2D6A3B692}"/>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c:v>
                </c:pt>
                <c:pt idx="1">
                  <c:v>0.5</c:v>
                </c:pt>
              </c:numCache>
            </c:numRef>
          </c:val>
          <c:extLst>
            <c:ext xmlns:c16="http://schemas.microsoft.com/office/drawing/2014/chart" uri="{C3380CC4-5D6E-409C-BE32-E72D297353CC}">
              <c16:uniqueId val="{00000008-2784-4EA9-987E-28C2D6A3B692}"/>
            </c:ext>
          </c:extLst>
        </c:ser>
        <c:dLbls>
          <c:showLegendKey val="0"/>
          <c:showVal val="0"/>
          <c:showCatName val="0"/>
          <c:showSerName val="0"/>
          <c:showPercent val="0"/>
          <c:showBubbleSize val="0"/>
        </c:dLbls>
        <c:gapWidth val="0"/>
        <c:axId val="1181979104"/>
        <c:axId val="1181984864"/>
      </c:barChart>
      <c:catAx>
        <c:axId val="1181979104"/>
        <c:scaling>
          <c:orientation val="minMax"/>
        </c:scaling>
        <c:delete val="1"/>
        <c:axPos val="l"/>
        <c:numFmt formatCode="General" sourceLinked="1"/>
        <c:majorTickMark val="none"/>
        <c:minorTickMark val="none"/>
        <c:tickLblPos val="nextTo"/>
        <c:crossAx val="1181984864"/>
        <c:crosses val="autoZero"/>
        <c:auto val="1"/>
        <c:lblAlgn val="ctr"/>
        <c:lblOffset val="100"/>
        <c:noMultiLvlLbl val="0"/>
      </c:catAx>
      <c:valAx>
        <c:axId val="1181984864"/>
        <c:scaling>
          <c:orientation val="minMax"/>
        </c:scaling>
        <c:delete val="1"/>
        <c:axPos val="b"/>
        <c:numFmt formatCode="0" sourceLinked="1"/>
        <c:majorTickMark val="none"/>
        <c:minorTickMark val="none"/>
        <c:tickLblPos val="nextTo"/>
        <c:crossAx val="118197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7018608301306199E-2"/>
          <c:w val="0.98811034765736383"/>
          <c:h val="0.95298139169869378"/>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Report'!$F$5:$F$36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2-C30C-4343-8C3E-3FC14596C23E}"/>
            </c:ext>
          </c:extLst>
        </c:ser>
        <c:dLbls>
          <c:showLegendKey val="0"/>
          <c:showVal val="0"/>
          <c:showCatName val="0"/>
          <c:showSerName val="0"/>
          <c:showPercent val="0"/>
          <c:showBubbleSize val="0"/>
        </c:dLbls>
        <c:axId val="677461279"/>
        <c:axId val="677461759"/>
      </c:areaChart>
      <c:catAx>
        <c:axId val="677461279"/>
        <c:scaling>
          <c:orientation val="minMax"/>
        </c:scaling>
        <c:delete val="1"/>
        <c:axPos val="b"/>
        <c:numFmt formatCode="General" sourceLinked="1"/>
        <c:majorTickMark val="out"/>
        <c:minorTickMark val="none"/>
        <c:tickLblPos val="nextTo"/>
        <c:crossAx val="677461759"/>
        <c:crosses val="autoZero"/>
        <c:auto val="1"/>
        <c:lblAlgn val="ctr"/>
        <c:lblOffset val="100"/>
        <c:noMultiLvlLbl val="0"/>
      </c:catAx>
      <c:valAx>
        <c:axId val="677461759"/>
        <c:scaling>
          <c:orientation val="minMax"/>
        </c:scaling>
        <c:delete val="1"/>
        <c:axPos val="l"/>
        <c:numFmt formatCode="General" sourceLinked="1"/>
        <c:majorTickMark val="none"/>
        <c:minorTickMark val="none"/>
        <c:tickLblPos val="nextTo"/>
        <c:crossAx val="677461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Report!PivotTable4</c:name>
    <c:fmtId val="1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7279090113735754E-3"/>
          <c:y val="0.15259929172263687"/>
          <c:w val="0.99214523184601922"/>
          <c:h val="0.84740092070705575"/>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Report'!$J$6:$J$37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2-1718-4CE8-9C52-6EB5F2CDE54F}"/>
            </c:ext>
          </c:extLst>
        </c:ser>
        <c:dLbls>
          <c:showLegendKey val="0"/>
          <c:showVal val="0"/>
          <c:showCatName val="0"/>
          <c:showSerName val="0"/>
          <c:showPercent val="0"/>
          <c:showBubbleSize val="0"/>
        </c:dLbls>
        <c:axId val="1551585568"/>
        <c:axId val="1551578848"/>
      </c:areaChart>
      <c:catAx>
        <c:axId val="1551585568"/>
        <c:scaling>
          <c:orientation val="minMax"/>
        </c:scaling>
        <c:delete val="1"/>
        <c:axPos val="b"/>
        <c:numFmt formatCode="General" sourceLinked="1"/>
        <c:majorTickMark val="out"/>
        <c:minorTickMark val="none"/>
        <c:tickLblPos val="nextTo"/>
        <c:crossAx val="1551578848"/>
        <c:crosses val="autoZero"/>
        <c:auto val="1"/>
        <c:lblAlgn val="ctr"/>
        <c:lblOffset val="100"/>
        <c:noMultiLvlLbl val="0"/>
      </c:catAx>
      <c:valAx>
        <c:axId val="1551578848"/>
        <c:scaling>
          <c:orientation val="minMax"/>
        </c:scaling>
        <c:delete val="1"/>
        <c:axPos val="l"/>
        <c:numFmt formatCode="0.00" sourceLinked="1"/>
        <c:majorTickMark val="none"/>
        <c:minorTickMark val="none"/>
        <c:tickLblPos val="nextTo"/>
        <c:crossAx val="1551585568"/>
        <c:crosses val="autoZero"/>
        <c:crossBetween val="midCat"/>
      </c:valAx>
      <c:spPr>
        <a:noFill/>
        <a:ln w="25400">
          <a:noFill/>
        </a:ln>
        <a:effectLst/>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682716628253301"/>
          <c:w val="1"/>
          <c:h val="0.72317283371746699"/>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Report'!$M$6:$M$37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2-DB78-4526-AD30-ADA443F62EFB}"/>
            </c:ext>
          </c:extLst>
        </c:ser>
        <c:dLbls>
          <c:showLegendKey val="0"/>
          <c:showVal val="0"/>
          <c:showCatName val="0"/>
          <c:showSerName val="0"/>
          <c:showPercent val="0"/>
          <c:showBubbleSize val="0"/>
        </c:dLbls>
        <c:axId val="1699825823"/>
        <c:axId val="1699837343"/>
      </c:areaChart>
      <c:catAx>
        <c:axId val="1699825823"/>
        <c:scaling>
          <c:orientation val="minMax"/>
        </c:scaling>
        <c:delete val="1"/>
        <c:axPos val="b"/>
        <c:numFmt formatCode="General" sourceLinked="1"/>
        <c:majorTickMark val="out"/>
        <c:minorTickMark val="none"/>
        <c:tickLblPos val="nextTo"/>
        <c:crossAx val="1699837343"/>
        <c:crosses val="autoZero"/>
        <c:auto val="1"/>
        <c:lblAlgn val="ctr"/>
        <c:lblOffset val="100"/>
        <c:noMultiLvlLbl val="0"/>
      </c:catAx>
      <c:valAx>
        <c:axId val="1699837343"/>
        <c:scaling>
          <c:orientation val="minMax"/>
        </c:scaling>
        <c:delete val="1"/>
        <c:axPos val="l"/>
        <c:numFmt formatCode="0.00" sourceLinked="1"/>
        <c:majorTickMark val="none"/>
        <c:minorTickMark val="none"/>
        <c:tickLblPos val="nextTo"/>
        <c:crossAx val="1699825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12918113729909"/>
          <c:h val="0.5692181208998508"/>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3-F825-4514-98FB-7A4DA0FEEACE}"/>
            </c:ext>
          </c:extLst>
        </c:ser>
        <c:dLbls>
          <c:showLegendKey val="0"/>
          <c:showVal val="0"/>
          <c:showCatName val="0"/>
          <c:showSerName val="0"/>
          <c:showPercent val="0"/>
          <c:showBubbleSize val="0"/>
        </c:dLbls>
        <c:gapWidth val="219"/>
        <c:overlap val="-27"/>
        <c:axId val="461237567"/>
        <c:axId val="461251007"/>
      </c:barChart>
      <c:catAx>
        <c:axId val="46123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61251007"/>
        <c:crosses val="autoZero"/>
        <c:auto val="1"/>
        <c:lblAlgn val="ctr"/>
        <c:lblOffset val="100"/>
        <c:noMultiLvlLbl val="0"/>
      </c:catAx>
      <c:valAx>
        <c:axId val="461251007"/>
        <c:scaling>
          <c:orientation val="minMax"/>
        </c:scaling>
        <c:delete val="1"/>
        <c:axPos val="l"/>
        <c:numFmt formatCode="0" sourceLinked="1"/>
        <c:majorTickMark val="none"/>
        <c:minorTickMark val="none"/>
        <c:tickLblPos val="nextTo"/>
        <c:crossAx val="46123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Report!PivotTable10</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1571426291344573"/>
          <c:y val="0.21201288999208642"/>
          <c:w val="0.8168469326409985"/>
          <c:h val="0.78798681081027866"/>
        </c:manualLayout>
      </c:layout>
      <c:pieChart>
        <c:varyColors val="1"/>
        <c:ser>
          <c:idx val="0"/>
          <c:order val="0"/>
          <c:tx>
            <c:strRef>
              <c:f>'Pivot Report'!$B$67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312</c:v>
                </c:pt>
                <c:pt idx="1">
                  <c:v>194</c:v>
                </c:pt>
              </c:numCache>
            </c:numRef>
          </c:val>
          <c:extLst>
            <c:ext xmlns:c16="http://schemas.microsoft.com/office/drawing/2014/chart" uri="{C3380CC4-5D6E-409C-BE32-E72D297353CC}">
              <c16:uniqueId val="{00000007-FC43-44DB-90C0-C46E777D6F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553244141514174"/>
          <c:y val="5.4585541286591321E-2"/>
          <c:w val="0.67550525339299916"/>
          <c:h val="9.606590842811313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Report!PivotTable11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1925650799402568"/>
          <c:y val="0.10428558787292987"/>
          <c:w val="0.77257695735358223"/>
          <c:h val="0.74827222857111042"/>
        </c:manualLayout>
      </c:layout>
      <c:doughnutChart>
        <c:varyColors val="1"/>
        <c:ser>
          <c:idx val="0"/>
          <c:order val="0"/>
          <c:tx>
            <c:strRef>
              <c:f>'Pivot Report'!$B$75</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231</c:v>
                </c:pt>
                <c:pt idx="1">
                  <c:v>275</c:v>
                </c:pt>
              </c:numCache>
            </c:numRef>
          </c:val>
          <c:extLst>
            <c:ext xmlns:c16="http://schemas.microsoft.com/office/drawing/2014/chart" uri="{C3380CC4-5D6E-409C-BE32-E72D297353CC}">
              <c16:uniqueId val="{00000007-CC51-415A-B512-8481901A561B}"/>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ayout>
        <c:manualLayout>
          <c:xMode val="edge"/>
          <c:yMode val="edge"/>
          <c:x val="0.1774535104570017"/>
          <c:y val="2.0357427711992164E-2"/>
          <c:w val="0.56826837270341213"/>
          <c:h val="0.1562510936132983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Report!PivotTable12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glow rad="38100">
                <a:schemeClr val="accent1">
                  <a:alpha val="40000"/>
                </a:schemeClr>
              </a:glow>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37379702537184"/>
          <c:y val="1.2546941159697523E-2"/>
          <c:w val="0.79618180354092749"/>
          <c:h val="0.85083473251325015"/>
        </c:manualLayout>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dLbls>
            <c:spPr>
              <a:noFill/>
              <a:ln>
                <a:noFill/>
              </a:ln>
              <a:effectLst>
                <a:glow rad="38100">
                  <a:schemeClr val="accent1">
                    <a:alpha val="40000"/>
                  </a:schemeClr>
                </a:glow>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Report'!$B$83:$B$91</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3-626D-4F60-87E3-405F9AFDA465}"/>
            </c:ext>
          </c:extLst>
        </c:ser>
        <c:dLbls>
          <c:showLegendKey val="0"/>
          <c:showVal val="0"/>
          <c:showCatName val="0"/>
          <c:showSerName val="0"/>
          <c:showPercent val="0"/>
          <c:showBubbleSize val="0"/>
        </c:dLbls>
        <c:gapWidth val="22"/>
        <c:axId val="1125331216"/>
        <c:axId val="1125317296"/>
      </c:barChart>
      <c:catAx>
        <c:axId val="112533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25317296"/>
        <c:crosses val="autoZero"/>
        <c:auto val="1"/>
        <c:lblAlgn val="ctr"/>
        <c:lblOffset val="100"/>
        <c:noMultiLvlLbl val="0"/>
      </c:catAx>
      <c:valAx>
        <c:axId val="1125317296"/>
        <c:scaling>
          <c:orientation val="minMax"/>
        </c:scaling>
        <c:delete val="1"/>
        <c:axPos val="b"/>
        <c:numFmt formatCode="0" sourceLinked="1"/>
        <c:majorTickMark val="none"/>
        <c:minorTickMark val="none"/>
        <c:tickLblPos val="nextTo"/>
        <c:crossAx val="112533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Report!PivotTable5</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81838598413052E-2"/>
          <c:y val="4.5277583972889453E-2"/>
          <c:w val="0.95275611840253349"/>
          <c:h val="0.81471178444466597"/>
        </c:manualLayout>
      </c:layout>
      <c:areaChart>
        <c:grouping val="standard"/>
        <c:varyColors val="0"/>
        <c:ser>
          <c:idx val="0"/>
          <c:order val="0"/>
          <c:tx>
            <c:strRef>
              <c:f>'Pivot Report'!$M$5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Report'!$L$6:$L$37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Report'!$M$6:$M$37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1-585A-44B8-A42A-DA1103279BE3}"/>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699825823"/>
        <c:axId val="1699837343"/>
      </c:areaChart>
      <c:catAx>
        <c:axId val="16998258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99837343"/>
        <c:crosses val="autoZero"/>
        <c:auto val="1"/>
        <c:lblAlgn val="ctr"/>
        <c:lblOffset val="100"/>
        <c:noMultiLvlLbl val="0"/>
      </c:catAx>
      <c:valAx>
        <c:axId val="16998373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982582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Report!PivotTable4</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43827281183531E-2"/>
          <c:y val="0.14692178043322349"/>
          <c:w val="0.95233749844474858"/>
          <c:h val="0.74338159305864937"/>
        </c:manualLayout>
      </c:layout>
      <c:areaChart>
        <c:grouping val="standard"/>
        <c:varyColors val="0"/>
        <c:ser>
          <c:idx val="0"/>
          <c:order val="0"/>
          <c:tx>
            <c:strRef>
              <c:f>'Pivot Report'!$J$5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Report'!$I$6:$I$37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Report'!$J$6:$J$37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1-DBCD-4E7D-A402-F4EB00E5D595}"/>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551585568"/>
        <c:axId val="1551578848"/>
      </c:areaChart>
      <c:catAx>
        <c:axId val="15515855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51578848"/>
        <c:crosses val="autoZero"/>
        <c:auto val="1"/>
        <c:lblAlgn val="ctr"/>
        <c:lblOffset val="100"/>
        <c:noMultiLvlLbl val="0"/>
      </c:catAx>
      <c:valAx>
        <c:axId val="15515788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1585568"/>
        <c:crosses val="autoZero"/>
        <c:crossBetween val="midCat"/>
      </c:valAx>
      <c:spPr>
        <a:noFill/>
        <a:ln>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[Hospital^120Emergency^120Dashboard1A (version 1).xlsb.xlsx]Pivot Report!PivotTable7</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16566866267464E-2"/>
          <c:y val="6.9079918669428655E-2"/>
          <c:w val="0.95373247206374656"/>
          <c:h val="0.74906859834856832"/>
        </c:manualLayout>
      </c:layout>
      <c:areaChart>
        <c:grouping val="standard"/>
        <c:varyColors val="0"/>
        <c:ser>
          <c:idx val="0"/>
          <c:order val="0"/>
          <c:tx>
            <c:strRef>
              <c:f>'Pivot Report'!$F$4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Report'!$E$5:$E$36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Report'!$F$5:$F$36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1-7441-45AA-B632-8CCCE122C41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77461279"/>
        <c:axId val="677461759"/>
      </c:areaChart>
      <c:catAx>
        <c:axId val="67746127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77461759"/>
        <c:crosses val="autoZero"/>
        <c:auto val="1"/>
        <c:lblAlgn val="ctr"/>
        <c:lblOffset val="100"/>
        <c:noMultiLvlLbl val="0"/>
      </c:catAx>
      <c:valAx>
        <c:axId val="6774617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746127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66675</xdr:colOff>
      <xdr:row>45</xdr:row>
      <xdr:rowOff>161926</xdr:rowOff>
    </xdr:from>
    <xdr:to>
      <xdr:col>3</xdr:col>
      <xdr:colOff>1352550</xdr:colOff>
      <xdr:row>48</xdr:row>
      <xdr:rowOff>19051</xdr:rowOff>
    </xdr:to>
    <xdr:graphicFrame macro="">
      <xdr:nvGraphicFramePr>
        <xdr:cNvPr id="2" name="Chart 1">
          <a:extLst>
            <a:ext uri="{FF2B5EF4-FFF2-40B4-BE49-F238E27FC236}">
              <a16:creationId xmlns:a16="http://schemas.microsoft.com/office/drawing/2014/main" id="{350FD9D3-E83C-3701-EC17-1EA078193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105324</xdr:colOff>
      <xdr:row>0</xdr:row>
      <xdr:rowOff>66856</xdr:rowOff>
    </xdr:from>
    <xdr:to>
      <xdr:col>5</xdr:col>
      <xdr:colOff>248199</xdr:colOff>
      <xdr:row>3</xdr:row>
      <xdr:rowOff>183172</xdr:rowOff>
    </xdr:to>
    <xdr:sp macro="" textlink="">
      <xdr:nvSpPr>
        <xdr:cNvPr id="2" name="Rectangle: Rounded Corners 1">
          <a:extLst>
            <a:ext uri="{FF2B5EF4-FFF2-40B4-BE49-F238E27FC236}">
              <a16:creationId xmlns:a16="http://schemas.microsoft.com/office/drawing/2014/main" id="{89C32570-8906-74CF-02D2-6F12FF1AA321}"/>
            </a:ext>
          </a:extLst>
        </xdr:cNvPr>
        <xdr:cNvSpPr/>
      </xdr:nvSpPr>
      <xdr:spPr>
        <a:xfrm>
          <a:off x="105324" y="66856"/>
          <a:ext cx="3212856" cy="68781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t>                             </a:t>
          </a:r>
          <a:endParaRPr lang="en-IN" sz="1100" b="1" baseline="0">
            <a:solidFill>
              <a:schemeClr val="lt1"/>
            </a:solidFill>
            <a:effectLst/>
            <a:latin typeface="+mn-lt"/>
            <a:ea typeface="+mn-ea"/>
            <a:cs typeface="+mn-cs"/>
          </a:endParaRPr>
        </a:p>
      </xdr:txBody>
    </xdr:sp>
    <xdr:clientData/>
  </xdr:twoCellAnchor>
  <xdr:twoCellAnchor editAs="absolute">
    <xdr:from>
      <xdr:col>5</xdr:col>
      <xdr:colOff>279797</xdr:colOff>
      <xdr:row>0</xdr:row>
      <xdr:rowOff>73269</xdr:rowOff>
    </xdr:from>
    <xdr:to>
      <xdr:col>7</xdr:col>
      <xdr:colOff>80596</xdr:colOff>
      <xdr:row>3</xdr:row>
      <xdr:rowOff>175845</xdr:rowOff>
    </xdr:to>
    <xdr:sp macro="" textlink="">
      <xdr:nvSpPr>
        <xdr:cNvPr id="3" name="Rectangle: Rounded Corners 2">
          <a:extLst>
            <a:ext uri="{FF2B5EF4-FFF2-40B4-BE49-F238E27FC236}">
              <a16:creationId xmlns:a16="http://schemas.microsoft.com/office/drawing/2014/main" id="{1FCF70AE-BF3E-2698-E1FC-73F1A522560D}"/>
            </a:ext>
          </a:extLst>
        </xdr:cNvPr>
        <xdr:cNvSpPr/>
      </xdr:nvSpPr>
      <xdr:spPr>
        <a:xfrm>
          <a:off x="3349778" y="73269"/>
          <a:ext cx="1017068" cy="67407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125015</xdr:colOff>
      <xdr:row>0</xdr:row>
      <xdr:rowOff>58615</xdr:rowOff>
    </xdr:from>
    <xdr:to>
      <xdr:col>9</xdr:col>
      <xdr:colOff>202406</xdr:colOff>
      <xdr:row>7</xdr:row>
      <xdr:rowOff>161440</xdr:rowOff>
    </xdr:to>
    <xdr:sp macro="" textlink="">
      <xdr:nvSpPr>
        <xdr:cNvPr id="4" name="Rectangle: Rounded Corners 3">
          <a:extLst>
            <a:ext uri="{FF2B5EF4-FFF2-40B4-BE49-F238E27FC236}">
              <a16:creationId xmlns:a16="http://schemas.microsoft.com/office/drawing/2014/main" id="{7CD5BB78-AFAD-68EB-7E43-28A912EF3675}"/>
            </a:ext>
          </a:extLst>
        </xdr:cNvPr>
        <xdr:cNvSpPr/>
      </xdr:nvSpPr>
      <xdr:spPr>
        <a:xfrm>
          <a:off x="4443553" y="58615"/>
          <a:ext cx="1304340" cy="1458927"/>
        </a:xfrm>
        <a:prstGeom prst="roundRect">
          <a:avLst>
            <a:gd name="adj" fmla="val 1169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9</xdr:col>
      <xdr:colOff>237721</xdr:colOff>
      <xdr:row>0</xdr:row>
      <xdr:rowOff>74015</xdr:rowOff>
    </xdr:from>
    <xdr:to>
      <xdr:col>11</xdr:col>
      <xdr:colOff>274450</xdr:colOff>
      <xdr:row>7</xdr:row>
      <xdr:rowOff>161441</xdr:rowOff>
    </xdr:to>
    <xdr:sp macro="" textlink="">
      <xdr:nvSpPr>
        <xdr:cNvPr id="5" name="Rectangle: Rounded Corners 4">
          <a:extLst>
            <a:ext uri="{FF2B5EF4-FFF2-40B4-BE49-F238E27FC236}">
              <a16:creationId xmlns:a16="http://schemas.microsoft.com/office/drawing/2014/main" id="{1278DD12-5953-CE00-2CC0-280336375EBE}"/>
            </a:ext>
          </a:extLst>
        </xdr:cNvPr>
        <xdr:cNvSpPr/>
      </xdr:nvSpPr>
      <xdr:spPr>
        <a:xfrm>
          <a:off x="5783208" y="74015"/>
          <a:ext cx="1263678" cy="1443528"/>
        </a:xfrm>
        <a:prstGeom prst="roundRect">
          <a:avLst>
            <a:gd name="adj" fmla="val 1355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83344</xdr:colOff>
      <xdr:row>4</xdr:row>
      <xdr:rowOff>17858</xdr:rowOff>
    </xdr:from>
    <xdr:to>
      <xdr:col>1</xdr:col>
      <xdr:colOff>102578</xdr:colOff>
      <xdr:row>15</xdr:row>
      <xdr:rowOff>129153</xdr:rowOff>
    </xdr:to>
    <xdr:sp macro="" textlink="">
      <xdr:nvSpPr>
        <xdr:cNvPr id="6" name="Rectangle: Rounded Corners 5">
          <a:extLst>
            <a:ext uri="{FF2B5EF4-FFF2-40B4-BE49-F238E27FC236}">
              <a16:creationId xmlns:a16="http://schemas.microsoft.com/office/drawing/2014/main" id="{D18C623A-2FD6-22F7-B8DB-498D26998D2D}"/>
            </a:ext>
          </a:extLst>
        </xdr:cNvPr>
        <xdr:cNvSpPr/>
      </xdr:nvSpPr>
      <xdr:spPr>
        <a:xfrm>
          <a:off x="83344" y="792773"/>
          <a:ext cx="656925" cy="224231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3</xdr:col>
      <xdr:colOff>139210</xdr:colOff>
      <xdr:row>4</xdr:row>
      <xdr:rowOff>29309</xdr:rowOff>
    </xdr:from>
    <xdr:to>
      <xdr:col>5</xdr:col>
      <xdr:colOff>70979</xdr:colOff>
      <xdr:row>7</xdr:row>
      <xdr:rowOff>153865</xdr:rowOff>
    </xdr:to>
    <xdr:sp macro="" textlink="">
      <xdr:nvSpPr>
        <xdr:cNvPr id="7" name="Rectangle: Rounded Corners 6">
          <a:extLst>
            <a:ext uri="{FF2B5EF4-FFF2-40B4-BE49-F238E27FC236}">
              <a16:creationId xmlns:a16="http://schemas.microsoft.com/office/drawing/2014/main" id="{341EF45B-E618-2FD0-137A-F90BD59BEDBE}"/>
            </a:ext>
          </a:extLst>
        </xdr:cNvPr>
        <xdr:cNvSpPr/>
      </xdr:nvSpPr>
      <xdr:spPr>
        <a:xfrm>
          <a:off x="1992922" y="791309"/>
          <a:ext cx="1148038" cy="696056"/>
        </a:xfrm>
        <a:prstGeom prst="roundRect">
          <a:avLst>
            <a:gd name="adj" fmla="val 6141"/>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5</xdr:col>
      <xdr:colOff>102578</xdr:colOff>
      <xdr:row>4</xdr:row>
      <xdr:rowOff>21981</xdr:rowOff>
    </xdr:from>
    <xdr:to>
      <xdr:col>7</xdr:col>
      <xdr:colOff>73268</xdr:colOff>
      <xdr:row>7</xdr:row>
      <xdr:rowOff>153865</xdr:rowOff>
    </xdr:to>
    <xdr:sp macro="" textlink="">
      <xdr:nvSpPr>
        <xdr:cNvPr id="8" name="Rectangle: Rounded Corners 7">
          <a:extLst>
            <a:ext uri="{FF2B5EF4-FFF2-40B4-BE49-F238E27FC236}">
              <a16:creationId xmlns:a16="http://schemas.microsoft.com/office/drawing/2014/main" id="{AD18926B-3839-4C51-FB03-9C0E1FC7A53B}"/>
            </a:ext>
          </a:extLst>
        </xdr:cNvPr>
        <xdr:cNvSpPr/>
      </xdr:nvSpPr>
      <xdr:spPr>
        <a:xfrm>
          <a:off x="3172559" y="783981"/>
          <a:ext cx="1186959" cy="703384"/>
        </a:xfrm>
        <a:prstGeom prst="roundRect">
          <a:avLst>
            <a:gd name="adj" fmla="val 729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168520</xdr:colOff>
      <xdr:row>4</xdr:row>
      <xdr:rowOff>36635</xdr:rowOff>
    </xdr:from>
    <xdr:to>
      <xdr:col>3</xdr:col>
      <xdr:colOff>102575</xdr:colOff>
      <xdr:row>7</xdr:row>
      <xdr:rowOff>153865</xdr:rowOff>
    </xdr:to>
    <xdr:sp macro="" textlink="">
      <xdr:nvSpPr>
        <xdr:cNvPr id="9" name="Rectangle: Rounded Corners 8">
          <a:extLst>
            <a:ext uri="{FF2B5EF4-FFF2-40B4-BE49-F238E27FC236}">
              <a16:creationId xmlns:a16="http://schemas.microsoft.com/office/drawing/2014/main" id="{C896325B-6185-8307-8D9F-C920E4C4B554}"/>
            </a:ext>
          </a:extLst>
        </xdr:cNvPr>
        <xdr:cNvSpPr/>
      </xdr:nvSpPr>
      <xdr:spPr>
        <a:xfrm>
          <a:off x="805962" y="798635"/>
          <a:ext cx="1150325" cy="688730"/>
        </a:xfrm>
        <a:prstGeom prst="roundRect">
          <a:avLst>
            <a:gd name="adj" fmla="val 8156"/>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t>                                             </a:t>
          </a:r>
        </a:p>
      </xdr:txBody>
    </xdr:sp>
    <xdr:clientData/>
  </xdr:twoCellAnchor>
  <xdr:twoCellAnchor editAs="absolute">
    <xdr:from>
      <xdr:col>1</xdr:col>
      <xdr:colOff>175848</xdr:colOff>
      <xdr:row>8</xdr:row>
      <xdr:rowOff>15112</xdr:rowOff>
    </xdr:from>
    <xdr:to>
      <xdr:col>7</xdr:col>
      <xdr:colOff>92044</xdr:colOff>
      <xdr:row>10</xdr:row>
      <xdr:rowOff>163941</xdr:rowOff>
    </xdr:to>
    <xdr:sp macro="" textlink="">
      <xdr:nvSpPr>
        <xdr:cNvPr id="11" name="Rectangle: Rounded Corners 10">
          <a:extLst>
            <a:ext uri="{FF2B5EF4-FFF2-40B4-BE49-F238E27FC236}">
              <a16:creationId xmlns:a16="http://schemas.microsoft.com/office/drawing/2014/main" id="{3564A0EE-D776-E59E-3A5C-91F3B4B513A7}"/>
            </a:ext>
          </a:extLst>
        </xdr:cNvPr>
        <xdr:cNvSpPr/>
      </xdr:nvSpPr>
      <xdr:spPr>
        <a:xfrm>
          <a:off x="813290" y="1539112"/>
          <a:ext cx="3565004" cy="529829"/>
        </a:xfrm>
        <a:prstGeom prst="roundRect">
          <a:avLst>
            <a:gd name="adj" fmla="val 1390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146539</xdr:colOff>
      <xdr:row>11</xdr:row>
      <xdr:rowOff>5495</xdr:rowOff>
    </xdr:from>
    <xdr:to>
      <xdr:col>7</xdr:col>
      <xdr:colOff>83344</xdr:colOff>
      <xdr:row>15</xdr:row>
      <xdr:rowOff>109904</xdr:rowOff>
    </xdr:to>
    <xdr:sp macro="" textlink="">
      <xdr:nvSpPr>
        <xdr:cNvPr id="12" name="Rectangle: Rounded Corners 11">
          <a:extLst>
            <a:ext uri="{FF2B5EF4-FFF2-40B4-BE49-F238E27FC236}">
              <a16:creationId xmlns:a16="http://schemas.microsoft.com/office/drawing/2014/main" id="{33880FAC-6C97-B38F-91AA-AC807B8DA0EC}"/>
            </a:ext>
          </a:extLst>
        </xdr:cNvPr>
        <xdr:cNvSpPr/>
      </xdr:nvSpPr>
      <xdr:spPr>
        <a:xfrm>
          <a:off x="783981" y="2100995"/>
          <a:ext cx="3585613" cy="866409"/>
        </a:xfrm>
        <a:prstGeom prst="roundRect">
          <a:avLst>
            <a:gd name="adj" fmla="val 1272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137225</xdr:colOff>
      <xdr:row>8</xdr:row>
      <xdr:rowOff>24216</xdr:rowOff>
    </xdr:from>
    <xdr:to>
      <xdr:col>11</xdr:col>
      <xdr:colOff>266377</xdr:colOff>
      <xdr:row>15</xdr:row>
      <xdr:rowOff>104937</xdr:rowOff>
    </xdr:to>
    <xdr:sp macro="" textlink="">
      <xdr:nvSpPr>
        <xdr:cNvPr id="13" name="Rectangle: Rounded Corners 12">
          <a:extLst>
            <a:ext uri="{FF2B5EF4-FFF2-40B4-BE49-F238E27FC236}">
              <a16:creationId xmlns:a16="http://schemas.microsoft.com/office/drawing/2014/main" id="{3F09F8C8-3AFD-E7B1-68E1-29DFA0BAF9CA}"/>
            </a:ext>
          </a:extLst>
        </xdr:cNvPr>
        <xdr:cNvSpPr/>
      </xdr:nvSpPr>
      <xdr:spPr>
        <a:xfrm>
          <a:off x="4455763" y="1574047"/>
          <a:ext cx="2583050" cy="1436822"/>
        </a:xfrm>
        <a:prstGeom prst="roundRect">
          <a:avLst>
            <a:gd name="adj" fmla="val 990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16</xdr:col>
      <xdr:colOff>411674</xdr:colOff>
      <xdr:row>0</xdr:row>
      <xdr:rowOff>145297</xdr:rowOff>
    </xdr:from>
    <xdr:to>
      <xdr:col>16</xdr:col>
      <xdr:colOff>419746</xdr:colOff>
      <xdr:row>19</xdr:row>
      <xdr:rowOff>1</xdr:rowOff>
    </xdr:to>
    <xdr:cxnSp macro="">
      <xdr:nvCxnSpPr>
        <xdr:cNvPr id="15" name="Straight Connector 14">
          <a:extLst>
            <a:ext uri="{FF2B5EF4-FFF2-40B4-BE49-F238E27FC236}">
              <a16:creationId xmlns:a16="http://schemas.microsoft.com/office/drawing/2014/main" id="{1FFE5610-0F68-817A-F41C-7114D5263F19}"/>
            </a:ext>
          </a:extLst>
        </xdr:cNvPr>
        <xdr:cNvCxnSpPr/>
      </xdr:nvCxnSpPr>
      <xdr:spPr>
        <a:xfrm flipH="1">
          <a:off x="10251483" y="145297"/>
          <a:ext cx="8072" cy="353555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20</xdr:row>
      <xdr:rowOff>40361</xdr:rowOff>
    </xdr:from>
    <xdr:to>
      <xdr:col>12</xdr:col>
      <xdr:colOff>0</xdr:colOff>
      <xdr:row>20</xdr:row>
      <xdr:rowOff>48433</xdr:rowOff>
    </xdr:to>
    <xdr:cxnSp macro="">
      <xdr:nvCxnSpPr>
        <xdr:cNvPr id="29" name="Straight Connector 28">
          <a:extLst>
            <a:ext uri="{FF2B5EF4-FFF2-40B4-BE49-F238E27FC236}">
              <a16:creationId xmlns:a16="http://schemas.microsoft.com/office/drawing/2014/main" id="{269F5DF0-24EB-DB49-9CB7-7B4812C85EBE}"/>
            </a:ext>
          </a:extLst>
        </xdr:cNvPr>
        <xdr:cNvCxnSpPr/>
      </xdr:nvCxnSpPr>
      <xdr:spPr>
        <a:xfrm flipV="1">
          <a:off x="0" y="3914937"/>
          <a:ext cx="7385911" cy="807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185920</xdr:colOff>
      <xdr:row>0</xdr:row>
      <xdr:rowOff>147453</xdr:rowOff>
    </xdr:from>
    <xdr:to>
      <xdr:col>1</xdr:col>
      <xdr:colOff>64647</xdr:colOff>
      <xdr:row>3</xdr:row>
      <xdr:rowOff>109904</xdr:rowOff>
    </xdr:to>
    <xdr:pic>
      <xdr:nvPicPr>
        <xdr:cNvPr id="35" name="Picture 34">
          <a:extLst>
            <a:ext uri="{FF2B5EF4-FFF2-40B4-BE49-F238E27FC236}">
              <a16:creationId xmlns:a16="http://schemas.microsoft.com/office/drawing/2014/main" id="{F3649A24-BA61-4E54-85B7-9AC76DFC8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920" y="147453"/>
          <a:ext cx="516169" cy="533951"/>
        </a:xfrm>
        <a:prstGeom prst="rect">
          <a:avLst/>
        </a:prstGeom>
      </xdr:spPr>
    </xdr:pic>
    <xdr:clientData/>
  </xdr:twoCellAnchor>
  <xdr:twoCellAnchor editAs="absolute">
    <xdr:from>
      <xdr:col>1</xdr:col>
      <xdr:colOff>219808</xdr:colOff>
      <xdr:row>1</xdr:row>
      <xdr:rowOff>14654</xdr:rowOff>
    </xdr:from>
    <xdr:to>
      <xdr:col>5</xdr:col>
      <xdr:colOff>109904</xdr:colOff>
      <xdr:row>2</xdr:row>
      <xdr:rowOff>21981</xdr:rowOff>
    </xdr:to>
    <xdr:sp macro="" textlink="">
      <xdr:nvSpPr>
        <xdr:cNvPr id="36" name="TextBox 35">
          <a:extLst>
            <a:ext uri="{FF2B5EF4-FFF2-40B4-BE49-F238E27FC236}">
              <a16:creationId xmlns:a16="http://schemas.microsoft.com/office/drawing/2014/main" id="{27A8A939-7306-5BF6-3EFC-6E4659CA76B5}"/>
            </a:ext>
          </a:extLst>
        </xdr:cNvPr>
        <xdr:cNvSpPr txBox="1"/>
      </xdr:nvSpPr>
      <xdr:spPr>
        <a:xfrm>
          <a:off x="857250" y="205154"/>
          <a:ext cx="2322635"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dk1"/>
              </a:solidFill>
              <a:effectLst/>
              <a:latin typeface="+mn-lt"/>
              <a:ea typeface="+mn-ea"/>
              <a:cs typeface="+mn-cs"/>
            </a:rPr>
            <a:t>Hospital</a:t>
          </a:r>
          <a:r>
            <a:rPr lang="en-IN" sz="1100" b="1" baseline="0">
              <a:solidFill>
                <a:schemeClr val="dk1"/>
              </a:solidFill>
              <a:effectLst/>
              <a:latin typeface="+mn-lt"/>
              <a:ea typeface="+mn-ea"/>
              <a:cs typeface="+mn-cs"/>
            </a:rPr>
            <a:t> Emergency Room DashBoard</a:t>
          </a:r>
          <a:endParaRPr lang="en-IN" sz="1100"/>
        </a:p>
      </xdr:txBody>
    </xdr:sp>
    <xdr:clientData/>
  </xdr:twoCellAnchor>
  <xdr:twoCellAnchor editAs="absolute">
    <xdr:from>
      <xdr:col>1</xdr:col>
      <xdr:colOff>159727</xdr:colOff>
      <xdr:row>2</xdr:row>
      <xdr:rowOff>20516</xdr:rowOff>
    </xdr:from>
    <xdr:to>
      <xdr:col>5</xdr:col>
      <xdr:colOff>49823</xdr:colOff>
      <xdr:row>3</xdr:row>
      <xdr:rowOff>27843</xdr:rowOff>
    </xdr:to>
    <xdr:sp macro="" textlink="">
      <xdr:nvSpPr>
        <xdr:cNvPr id="37" name="TextBox 36">
          <a:extLst>
            <a:ext uri="{FF2B5EF4-FFF2-40B4-BE49-F238E27FC236}">
              <a16:creationId xmlns:a16="http://schemas.microsoft.com/office/drawing/2014/main" id="{59F3BAA6-0520-8172-9BD8-0589717B318E}"/>
            </a:ext>
          </a:extLst>
        </xdr:cNvPr>
        <xdr:cNvSpPr txBox="1"/>
      </xdr:nvSpPr>
      <xdr:spPr>
        <a:xfrm>
          <a:off x="797169" y="401516"/>
          <a:ext cx="2322635"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1000" b="0"/>
            <a:t>Monthly</a:t>
          </a:r>
          <a:r>
            <a:rPr lang="en-IN" sz="1000" b="0" baseline="0"/>
            <a:t> Report</a:t>
          </a:r>
          <a:endParaRPr lang="en-IN" sz="1100" b="0"/>
        </a:p>
      </xdr:txBody>
    </xdr:sp>
    <xdr:clientData/>
  </xdr:twoCellAnchor>
  <xdr:twoCellAnchor editAs="absolute">
    <xdr:from>
      <xdr:col>1</xdr:col>
      <xdr:colOff>168520</xdr:colOff>
      <xdr:row>5</xdr:row>
      <xdr:rowOff>63012</xdr:rowOff>
    </xdr:from>
    <xdr:to>
      <xdr:col>3</xdr:col>
      <xdr:colOff>102576</xdr:colOff>
      <xdr:row>6</xdr:row>
      <xdr:rowOff>70339</xdr:rowOff>
    </xdr:to>
    <xdr:sp macro="" textlink="">
      <xdr:nvSpPr>
        <xdr:cNvPr id="38" name="TextBox 37">
          <a:extLst>
            <a:ext uri="{FF2B5EF4-FFF2-40B4-BE49-F238E27FC236}">
              <a16:creationId xmlns:a16="http://schemas.microsoft.com/office/drawing/2014/main" id="{20FE7501-4003-9755-E0AF-89152DA34C8E}"/>
            </a:ext>
          </a:extLst>
        </xdr:cNvPr>
        <xdr:cNvSpPr txBox="1"/>
      </xdr:nvSpPr>
      <xdr:spPr>
        <a:xfrm>
          <a:off x="805962" y="1015512"/>
          <a:ext cx="1150326"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baseline="0"/>
            <a:t>            </a:t>
          </a:r>
          <a:r>
            <a:rPr lang="en-IN" sz="800" b="0" baseline="0"/>
            <a:t>No. of patients</a:t>
          </a:r>
          <a:endParaRPr lang="en-IN" sz="1100" b="0"/>
        </a:p>
      </xdr:txBody>
    </xdr:sp>
    <xdr:clientData/>
  </xdr:twoCellAnchor>
  <xdr:twoCellAnchor editAs="absolute">
    <xdr:from>
      <xdr:col>1</xdr:col>
      <xdr:colOff>175846</xdr:colOff>
      <xdr:row>4</xdr:row>
      <xdr:rowOff>106974</xdr:rowOff>
    </xdr:from>
    <xdr:to>
      <xdr:col>3</xdr:col>
      <xdr:colOff>95251</xdr:colOff>
      <xdr:row>5</xdr:row>
      <xdr:rowOff>114301</xdr:rowOff>
    </xdr:to>
    <xdr:sp macro="" textlink="'Pivot Report'!A5">
      <xdr:nvSpPr>
        <xdr:cNvPr id="39" name="TextBox 38">
          <a:extLst>
            <a:ext uri="{FF2B5EF4-FFF2-40B4-BE49-F238E27FC236}">
              <a16:creationId xmlns:a16="http://schemas.microsoft.com/office/drawing/2014/main" id="{8334C193-ED38-D452-FC4B-DC31965DB8CF}"/>
            </a:ext>
          </a:extLst>
        </xdr:cNvPr>
        <xdr:cNvSpPr txBox="1"/>
      </xdr:nvSpPr>
      <xdr:spPr>
        <a:xfrm>
          <a:off x="813288" y="868974"/>
          <a:ext cx="1135675"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b="0" i="0" u="none" strike="noStrike" baseline="0">
              <a:solidFill>
                <a:srgbClr val="000000"/>
              </a:solidFill>
              <a:latin typeface="Aptos Narrow"/>
            </a:rPr>
            <a:t>                    </a:t>
          </a:r>
          <a:fld id="{D2922693-BAE5-4F78-8F78-66651AB5768C}" type="TxLink">
            <a:rPr lang="en-US" sz="1050" b="0" i="0" u="none" strike="noStrike" baseline="0">
              <a:solidFill>
                <a:srgbClr val="000000"/>
              </a:solidFill>
              <a:latin typeface="Aptos Narrow"/>
            </a:rPr>
            <a:pPr/>
            <a:t>431</a:t>
          </a:fld>
          <a:endParaRPr lang="en-IN" sz="1050" b="0"/>
        </a:p>
      </xdr:txBody>
    </xdr:sp>
    <xdr:clientData/>
  </xdr:twoCellAnchor>
  <xdr:twoCellAnchor editAs="absolute">
    <xdr:from>
      <xdr:col>3</xdr:col>
      <xdr:colOff>146538</xdr:colOff>
      <xdr:row>5</xdr:row>
      <xdr:rowOff>63012</xdr:rowOff>
    </xdr:from>
    <xdr:to>
      <xdr:col>5</xdr:col>
      <xdr:colOff>65942</xdr:colOff>
      <xdr:row>6</xdr:row>
      <xdr:rowOff>70339</xdr:rowOff>
    </xdr:to>
    <xdr:sp macro="" textlink="">
      <xdr:nvSpPr>
        <xdr:cNvPr id="40" name="TextBox 39">
          <a:extLst>
            <a:ext uri="{FF2B5EF4-FFF2-40B4-BE49-F238E27FC236}">
              <a16:creationId xmlns:a16="http://schemas.microsoft.com/office/drawing/2014/main" id="{D86F1FD0-2C81-FEAA-F1CC-3FAEAA9E316B}"/>
            </a:ext>
          </a:extLst>
        </xdr:cNvPr>
        <xdr:cNvSpPr txBox="1"/>
      </xdr:nvSpPr>
      <xdr:spPr>
        <a:xfrm>
          <a:off x="2000250" y="1015512"/>
          <a:ext cx="1135673"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baseline="0"/>
            <a:t>            </a:t>
          </a:r>
          <a:r>
            <a:rPr lang="en-IN" sz="800" b="0" baseline="0"/>
            <a:t>Average wait time</a:t>
          </a:r>
          <a:endParaRPr lang="en-IN" sz="1100" b="0"/>
        </a:p>
      </xdr:txBody>
    </xdr:sp>
    <xdr:clientData/>
  </xdr:twoCellAnchor>
  <xdr:twoCellAnchor editAs="absolute">
    <xdr:from>
      <xdr:col>3</xdr:col>
      <xdr:colOff>153864</xdr:colOff>
      <xdr:row>4</xdr:row>
      <xdr:rowOff>55686</xdr:rowOff>
    </xdr:from>
    <xdr:to>
      <xdr:col>5</xdr:col>
      <xdr:colOff>80596</xdr:colOff>
      <xdr:row>5</xdr:row>
      <xdr:rowOff>63013</xdr:rowOff>
    </xdr:to>
    <xdr:sp macro="" textlink="'Pivot Report'!A10">
      <xdr:nvSpPr>
        <xdr:cNvPr id="41" name="TextBox 40">
          <a:extLst>
            <a:ext uri="{FF2B5EF4-FFF2-40B4-BE49-F238E27FC236}">
              <a16:creationId xmlns:a16="http://schemas.microsoft.com/office/drawing/2014/main" id="{91ED9DCD-81E2-D8C9-0D2D-760B6AF2C8D9}"/>
            </a:ext>
          </a:extLst>
        </xdr:cNvPr>
        <xdr:cNvSpPr txBox="1"/>
      </xdr:nvSpPr>
      <xdr:spPr>
        <a:xfrm>
          <a:off x="2007576" y="817686"/>
          <a:ext cx="1143001"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solidFill>
                <a:srgbClr val="000000"/>
              </a:solidFill>
              <a:latin typeface="Aptos Narrow"/>
            </a:rPr>
            <a:t>                 </a:t>
          </a:r>
          <a:fld id="{B6BC11DB-DED6-4BE4-8BAC-A0CD7A36BDEF}" type="TxLink">
            <a:rPr lang="en-US" sz="1100" b="0" i="0" u="none" strike="noStrike" baseline="0">
              <a:solidFill>
                <a:srgbClr val="000000"/>
              </a:solidFill>
              <a:latin typeface="Aptos Narrow"/>
            </a:rPr>
            <a:pPr/>
            <a:t>36.67</a:t>
          </a:fld>
          <a:endParaRPr lang="en-US" sz="1100" b="0" i="0" u="none" strike="noStrike">
            <a:solidFill>
              <a:srgbClr val="000000"/>
            </a:solidFill>
            <a:latin typeface="Aptos Narrow"/>
          </a:endParaRPr>
        </a:p>
      </xdr:txBody>
    </xdr:sp>
    <xdr:clientData/>
  </xdr:twoCellAnchor>
  <xdr:twoCellAnchor editAs="absolute">
    <xdr:from>
      <xdr:col>5</xdr:col>
      <xdr:colOff>102622</xdr:colOff>
      <xdr:row>5</xdr:row>
      <xdr:rowOff>58613</xdr:rowOff>
    </xdr:from>
    <xdr:to>
      <xdr:col>7</xdr:col>
      <xdr:colOff>51288</xdr:colOff>
      <xdr:row>6</xdr:row>
      <xdr:rowOff>73268</xdr:rowOff>
    </xdr:to>
    <xdr:sp macro="" textlink="">
      <xdr:nvSpPr>
        <xdr:cNvPr id="42" name="TextBox 41">
          <a:extLst>
            <a:ext uri="{FF2B5EF4-FFF2-40B4-BE49-F238E27FC236}">
              <a16:creationId xmlns:a16="http://schemas.microsoft.com/office/drawing/2014/main" id="{A2BBAA34-8FA9-C73D-4DAB-B6351AC47097}"/>
            </a:ext>
          </a:extLst>
        </xdr:cNvPr>
        <xdr:cNvSpPr txBox="1"/>
      </xdr:nvSpPr>
      <xdr:spPr>
        <a:xfrm>
          <a:off x="3172603" y="1011113"/>
          <a:ext cx="1164935" cy="20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baseline="0"/>
            <a:t>    </a:t>
          </a:r>
          <a:r>
            <a:rPr lang="en-IN" sz="800" b="0" baseline="0"/>
            <a:t>Patient satisfactory score</a:t>
          </a:r>
          <a:endParaRPr lang="en-IN" sz="1100" b="0"/>
        </a:p>
      </xdr:txBody>
    </xdr:sp>
    <xdr:clientData/>
  </xdr:twoCellAnchor>
  <xdr:twoCellAnchor editAs="absolute">
    <xdr:from>
      <xdr:col>5</xdr:col>
      <xdr:colOff>124557</xdr:colOff>
      <xdr:row>4</xdr:row>
      <xdr:rowOff>58615</xdr:rowOff>
    </xdr:from>
    <xdr:to>
      <xdr:col>7</xdr:col>
      <xdr:colOff>43962</xdr:colOff>
      <xdr:row>5</xdr:row>
      <xdr:rowOff>11725</xdr:rowOff>
    </xdr:to>
    <xdr:sp macro="" textlink="'Pivot Report'!A10">
      <xdr:nvSpPr>
        <xdr:cNvPr id="43" name="TextBox 42">
          <a:extLst>
            <a:ext uri="{FF2B5EF4-FFF2-40B4-BE49-F238E27FC236}">
              <a16:creationId xmlns:a16="http://schemas.microsoft.com/office/drawing/2014/main" id="{D5E6E2FE-6777-0C16-E099-1CEA3E6280C7}"/>
            </a:ext>
          </a:extLst>
        </xdr:cNvPr>
        <xdr:cNvSpPr txBox="1"/>
      </xdr:nvSpPr>
      <xdr:spPr>
        <a:xfrm>
          <a:off x="3194538" y="820615"/>
          <a:ext cx="1135674" cy="143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solidFill>
                <a:srgbClr val="000000"/>
              </a:solidFill>
              <a:latin typeface="Aptos Narrow"/>
            </a:rPr>
            <a:t>                 </a:t>
          </a:r>
          <a:fld id="{B6BC11DB-DED6-4BE4-8BAC-A0CD7A36BDEF}" type="TxLink">
            <a:rPr lang="en-US" sz="1100" b="0" i="0" u="none" strike="noStrike" baseline="0">
              <a:solidFill>
                <a:srgbClr val="000000"/>
              </a:solidFill>
              <a:latin typeface="Aptos Narrow"/>
            </a:rPr>
            <a:pPr/>
            <a:t>36.67</a:t>
          </a:fld>
          <a:endParaRPr lang="en-US" sz="1100" b="0" i="0" u="none" strike="noStrike">
            <a:solidFill>
              <a:srgbClr val="000000"/>
            </a:solidFill>
            <a:latin typeface="Aptos Narrow"/>
          </a:endParaRPr>
        </a:p>
      </xdr:txBody>
    </xdr:sp>
    <xdr:clientData/>
  </xdr:twoCellAnchor>
  <xdr:twoCellAnchor editAs="oneCell">
    <xdr:from>
      <xdr:col>1</xdr:col>
      <xdr:colOff>131885</xdr:colOff>
      <xdr:row>4</xdr:row>
      <xdr:rowOff>7327</xdr:rowOff>
    </xdr:from>
    <xdr:to>
      <xdr:col>1</xdr:col>
      <xdr:colOff>488517</xdr:colOff>
      <xdr:row>5</xdr:row>
      <xdr:rowOff>173212</xdr:rowOff>
    </xdr:to>
    <xdr:pic>
      <xdr:nvPicPr>
        <xdr:cNvPr id="44" name="Graphic 43" descr="Male profile with solid fill">
          <a:extLst>
            <a:ext uri="{FF2B5EF4-FFF2-40B4-BE49-F238E27FC236}">
              <a16:creationId xmlns:a16="http://schemas.microsoft.com/office/drawing/2014/main" id="{AE6EE094-790A-4571-AD09-4927738E22D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9327" y="769327"/>
          <a:ext cx="356632" cy="356385"/>
        </a:xfrm>
        <a:prstGeom prst="rect">
          <a:avLst/>
        </a:prstGeom>
      </xdr:spPr>
    </xdr:pic>
    <xdr:clientData/>
  </xdr:twoCellAnchor>
  <xdr:twoCellAnchor editAs="oneCell">
    <xdr:from>
      <xdr:col>3</xdr:col>
      <xdr:colOff>161193</xdr:colOff>
      <xdr:row>4</xdr:row>
      <xdr:rowOff>65942</xdr:rowOff>
    </xdr:from>
    <xdr:to>
      <xdr:col>3</xdr:col>
      <xdr:colOff>429394</xdr:colOff>
      <xdr:row>5</xdr:row>
      <xdr:rowOff>141503</xdr:rowOff>
    </xdr:to>
    <xdr:pic>
      <xdr:nvPicPr>
        <xdr:cNvPr id="45" name="Graphic 44" descr="Hourglass Full with solid fill">
          <a:extLst>
            <a:ext uri="{FF2B5EF4-FFF2-40B4-BE49-F238E27FC236}">
              <a16:creationId xmlns:a16="http://schemas.microsoft.com/office/drawing/2014/main" id="{0A23509D-59A5-4F2D-8A95-4AE1A0063A4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14905" y="827942"/>
          <a:ext cx="268201" cy="266061"/>
        </a:xfrm>
        <a:prstGeom prst="rect">
          <a:avLst/>
        </a:prstGeom>
      </xdr:spPr>
    </xdr:pic>
    <xdr:clientData/>
  </xdr:twoCellAnchor>
  <xdr:twoCellAnchor editAs="oneCell">
    <xdr:from>
      <xdr:col>5</xdr:col>
      <xdr:colOff>139212</xdr:colOff>
      <xdr:row>4</xdr:row>
      <xdr:rowOff>51288</xdr:rowOff>
    </xdr:from>
    <xdr:to>
      <xdr:col>5</xdr:col>
      <xdr:colOff>353901</xdr:colOff>
      <xdr:row>5</xdr:row>
      <xdr:rowOff>73337</xdr:rowOff>
    </xdr:to>
    <xdr:pic>
      <xdr:nvPicPr>
        <xdr:cNvPr id="46" name="Graphic 45" descr="Stars with solid fill">
          <a:extLst>
            <a:ext uri="{FF2B5EF4-FFF2-40B4-BE49-F238E27FC236}">
              <a16:creationId xmlns:a16="http://schemas.microsoft.com/office/drawing/2014/main" id="{0068FBD2-39EE-4B3E-ADEF-89C462C246F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09193" y="813288"/>
          <a:ext cx="214689" cy="212549"/>
        </a:xfrm>
        <a:prstGeom prst="rect">
          <a:avLst/>
        </a:prstGeom>
      </xdr:spPr>
    </xdr:pic>
    <xdr:clientData/>
  </xdr:twoCellAnchor>
  <xdr:twoCellAnchor editAs="oneCell">
    <xdr:from>
      <xdr:col>0</xdr:col>
      <xdr:colOff>109905</xdr:colOff>
      <xdr:row>4</xdr:row>
      <xdr:rowOff>73268</xdr:rowOff>
    </xdr:from>
    <xdr:to>
      <xdr:col>1</xdr:col>
      <xdr:colOff>39913</xdr:colOff>
      <xdr:row>15</xdr:row>
      <xdr:rowOff>56504</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F60FDD67-9C1A-4CEF-AA99-8FBC46BDB25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9905" y="835269"/>
              <a:ext cx="567450" cy="2088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168520</xdr:colOff>
      <xdr:row>6</xdr:row>
      <xdr:rowOff>36635</xdr:rowOff>
    </xdr:from>
    <xdr:to>
      <xdr:col>3</xdr:col>
      <xdr:colOff>117230</xdr:colOff>
      <xdr:row>7</xdr:row>
      <xdr:rowOff>168518</xdr:rowOff>
    </xdr:to>
    <xdr:graphicFrame macro="">
      <xdr:nvGraphicFramePr>
        <xdr:cNvPr id="48" name="Chart 47">
          <a:hlinkClick xmlns:r="http://schemas.openxmlformats.org/officeDocument/2006/relationships" r:id="rId8"/>
          <a:extLst>
            <a:ext uri="{FF2B5EF4-FFF2-40B4-BE49-F238E27FC236}">
              <a16:creationId xmlns:a16="http://schemas.microsoft.com/office/drawing/2014/main" id="{FEF23A45-51B2-4673-9D5B-4BD64288B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131884</xdr:colOff>
      <xdr:row>6</xdr:row>
      <xdr:rowOff>80596</xdr:rowOff>
    </xdr:from>
    <xdr:to>
      <xdr:col>5</xdr:col>
      <xdr:colOff>73269</xdr:colOff>
      <xdr:row>7</xdr:row>
      <xdr:rowOff>161192</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35FE21BD-1329-4102-B033-604200322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102577</xdr:colOff>
      <xdr:row>5</xdr:row>
      <xdr:rowOff>87923</xdr:rowOff>
    </xdr:from>
    <xdr:to>
      <xdr:col>7</xdr:col>
      <xdr:colOff>73270</xdr:colOff>
      <xdr:row>7</xdr:row>
      <xdr:rowOff>161192</xdr:rowOff>
    </xdr:to>
    <xdr:graphicFrame macro="">
      <xdr:nvGraphicFramePr>
        <xdr:cNvPr id="18" name="Chart 17">
          <a:hlinkClick xmlns:r="http://schemas.openxmlformats.org/officeDocument/2006/relationships" r:id="rId12"/>
          <a:extLst>
            <a:ext uri="{FF2B5EF4-FFF2-40B4-BE49-F238E27FC236}">
              <a16:creationId xmlns:a16="http://schemas.microsoft.com/office/drawing/2014/main" id="{42DC9D5D-44B6-4FC0-8ED6-A379EDCE9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234089</xdr:colOff>
          <xdr:row>8</xdr:row>
          <xdr:rowOff>8072</xdr:rowOff>
        </xdr:from>
        <xdr:to>
          <xdr:col>7</xdr:col>
          <xdr:colOff>24216</xdr:colOff>
          <xdr:row>10</xdr:row>
          <xdr:rowOff>129153</xdr:rowOff>
        </xdr:to>
        <xdr:pic>
          <xdr:nvPicPr>
            <xdr:cNvPr id="28" name="Picture 27">
              <a:extLst>
                <a:ext uri="{FF2B5EF4-FFF2-40B4-BE49-F238E27FC236}">
                  <a16:creationId xmlns:a16="http://schemas.microsoft.com/office/drawing/2014/main" id="{D91409D9-0956-D3FE-D087-CF72827479B9}"/>
                </a:ext>
              </a:extLst>
            </xdr:cNvPr>
            <xdr:cNvPicPr>
              <a:picLocks noChangeAspect="1" noChangeArrowheads="1"/>
              <a:extLst>
                <a:ext uri="{84589F7E-364E-4C9E-8A38-B11213B215E9}">
                  <a14:cameraTool cellRange="'Pivot Report'!$A$46:$D$48" spid="_x0000_s1074"/>
                </a:ext>
              </a:extLst>
            </xdr:cNvPicPr>
          </xdr:nvPicPr>
          <xdr:blipFill>
            <a:blip xmlns:r="http://schemas.openxmlformats.org/officeDocument/2006/relationships" r:embed="rId14"/>
            <a:srcRect/>
            <a:stretch>
              <a:fillRect/>
            </a:stretch>
          </xdr:blipFill>
          <xdr:spPr bwMode="auto">
            <a:xfrm>
              <a:off x="871780" y="1557903"/>
              <a:ext cx="3470974" cy="5085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137225</xdr:colOff>
      <xdr:row>11</xdr:row>
      <xdr:rowOff>16143</xdr:rowOff>
    </xdr:from>
    <xdr:to>
      <xdr:col>7</xdr:col>
      <xdr:colOff>80722</xdr:colOff>
      <xdr:row>15</xdr:row>
      <xdr:rowOff>129153</xdr:rowOff>
    </xdr:to>
    <xdr:graphicFrame macro="">
      <xdr:nvGraphicFramePr>
        <xdr:cNvPr id="30" name="Chart 29">
          <a:extLst>
            <a:ext uri="{FF2B5EF4-FFF2-40B4-BE49-F238E27FC236}">
              <a16:creationId xmlns:a16="http://schemas.microsoft.com/office/drawing/2014/main" id="{656E0229-F99B-4988-9B46-ED54838FD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523691</xdr:colOff>
      <xdr:row>14</xdr:row>
      <xdr:rowOff>151805</xdr:rowOff>
    </xdr:from>
    <xdr:to>
      <xdr:col>4</xdr:col>
      <xdr:colOff>457747</xdr:colOff>
      <xdr:row>15</xdr:row>
      <xdr:rowOff>159132</xdr:rowOff>
    </xdr:to>
    <xdr:sp macro="" textlink="">
      <xdr:nvSpPr>
        <xdr:cNvPr id="32" name="TextBox 31">
          <a:extLst>
            <a:ext uri="{FF2B5EF4-FFF2-40B4-BE49-F238E27FC236}">
              <a16:creationId xmlns:a16="http://schemas.microsoft.com/office/drawing/2014/main" id="{B72AB66D-F593-85B3-D7BA-CE3DC208FC5F}"/>
            </a:ext>
          </a:extLst>
        </xdr:cNvPr>
        <xdr:cNvSpPr txBox="1"/>
      </xdr:nvSpPr>
      <xdr:spPr>
        <a:xfrm>
          <a:off x="1774856" y="2864008"/>
          <a:ext cx="1161005" cy="20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baseline="0"/>
            <a:t>        </a:t>
          </a:r>
          <a:r>
            <a:rPr lang="en-IN" sz="900" b="0" baseline="0"/>
            <a:t>Patients by Age group</a:t>
          </a:r>
          <a:endParaRPr lang="en-IN" sz="1100" b="0"/>
        </a:p>
      </xdr:txBody>
    </xdr:sp>
    <xdr:clientData/>
  </xdr:twoCellAnchor>
  <xdr:twoCellAnchor>
    <xdr:from>
      <xdr:col>7</xdr:col>
      <xdr:colOff>113009</xdr:colOff>
      <xdr:row>0</xdr:row>
      <xdr:rowOff>0</xdr:rowOff>
    </xdr:from>
    <xdr:to>
      <xdr:col>9</xdr:col>
      <xdr:colOff>201801</xdr:colOff>
      <xdr:row>6</xdr:row>
      <xdr:rowOff>177585</xdr:rowOff>
    </xdr:to>
    <xdr:graphicFrame macro="">
      <xdr:nvGraphicFramePr>
        <xdr:cNvPr id="33" name="Chart 32">
          <a:extLst>
            <a:ext uri="{FF2B5EF4-FFF2-40B4-BE49-F238E27FC236}">
              <a16:creationId xmlns:a16="http://schemas.microsoft.com/office/drawing/2014/main" id="{7DD60D14-75E0-494B-976B-13FA9CCAF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225026</xdr:colOff>
      <xdr:row>6</xdr:row>
      <xdr:rowOff>192165</xdr:rowOff>
    </xdr:from>
    <xdr:to>
      <xdr:col>9</xdr:col>
      <xdr:colOff>159082</xdr:colOff>
      <xdr:row>8</xdr:row>
      <xdr:rowOff>5763</xdr:rowOff>
    </xdr:to>
    <xdr:sp macro="" textlink="">
      <xdr:nvSpPr>
        <xdr:cNvPr id="51" name="TextBox 50">
          <a:extLst>
            <a:ext uri="{FF2B5EF4-FFF2-40B4-BE49-F238E27FC236}">
              <a16:creationId xmlns:a16="http://schemas.microsoft.com/office/drawing/2014/main" id="{841BB57E-AF24-1A46-4F03-1FC99954B779}"/>
            </a:ext>
          </a:extLst>
        </xdr:cNvPr>
        <xdr:cNvSpPr txBox="1"/>
      </xdr:nvSpPr>
      <xdr:spPr>
        <a:xfrm>
          <a:off x="4543564" y="1354538"/>
          <a:ext cx="1161005" cy="20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baseline="0"/>
            <a:t> </a:t>
          </a:r>
          <a:r>
            <a:rPr lang="en-IN" sz="900" b="0" baseline="0"/>
            <a:t>Patients attended status </a:t>
          </a:r>
          <a:endParaRPr lang="en-IN" sz="1100" b="0"/>
        </a:p>
      </xdr:txBody>
    </xdr:sp>
    <xdr:clientData/>
  </xdr:twoCellAnchor>
  <xdr:twoCellAnchor>
    <xdr:from>
      <xdr:col>9</xdr:col>
      <xdr:colOff>226016</xdr:colOff>
      <xdr:row>0</xdr:row>
      <xdr:rowOff>64576</xdr:rowOff>
    </xdr:from>
    <xdr:to>
      <xdr:col>11</xdr:col>
      <xdr:colOff>290594</xdr:colOff>
      <xdr:row>7</xdr:row>
      <xdr:rowOff>177584</xdr:rowOff>
    </xdr:to>
    <xdr:graphicFrame macro="">
      <xdr:nvGraphicFramePr>
        <xdr:cNvPr id="56" name="Chart 55">
          <a:extLst>
            <a:ext uri="{FF2B5EF4-FFF2-40B4-BE49-F238E27FC236}">
              <a16:creationId xmlns:a16="http://schemas.microsoft.com/office/drawing/2014/main" id="{5891CC7B-8923-4898-A3A9-13B610654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313819</xdr:colOff>
      <xdr:row>6</xdr:row>
      <xdr:rowOff>192165</xdr:rowOff>
    </xdr:from>
    <xdr:to>
      <xdr:col>11</xdr:col>
      <xdr:colOff>247875</xdr:colOff>
      <xdr:row>8</xdr:row>
      <xdr:rowOff>5763</xdr:rowOff>
    </xdr:to>
    <xdr:sp macro="" textlink="">
      <xdr:nvSpPr>
        <xdr:cNvPr id="57" name="TextBox 56">
          <a:extLst>
            <a:ext uri="{FF2B5EF4-FFF2-40B4-BE49-F238E27FC236}">
              <a16:creationId xmlns:a16="http://schemas.microsoft.com/office/drawing/2014/main" id="{343E8458-C8D9-A328-4FC4-3EA2BA0E73E7}"/>
            </a:ext>
          </a:extLst>
        </xdr:cNvPr>
        <xdr:cNvSpPr txBox="1"/>
      </xdr:nvSpPr>
      <xdr:spPr>
        <a:xfrm>
          <a:off x="5859306" y="1354538"/>
          <a:ext cx="1161005" cy="20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baseline="0"/>
            <a:t>         Gender wise analysis</a:t>
          </a:r>
          <a:endParaRPr lang="en-IN" sz="1100" b="0"/>
        </a:p>
      </xdr:txBody>
    </xdr:sp>
    <xdr:clientData/>
  </xdr:twoCellAnchor>
  <xdr:twoCellAnchor>
    <xdr:from>
      <xdr:col>7</xdr:col>
      <xdr:colOff>145297</xdr:colOff>
      <xdr:row>8</xdr:row>
      <xdr:rowOff>24216</xdr:rowOff>
    </xdr:from>
    <xdr:to>
      <xdr:col>11</xdr:col>
      <xdr:colOff>274451</xdr:colOff>
      <xdr:row>15</xdr:row>
      <xdr:rowOff>113009</xdr:rowOff>
    </xdr:to>
    <xdr:graphicFrame macro="">
      <xdr:nvGraphicFramePr>
        <xdr:cNvPr id="58" name="Chart 57">
          <a:extLst>
            <a:ext uri="{FF2B5EF4-FFF2-40B4-BE49-F238E27FC236}">
              <a16:creationId xmlns:a16="http://schemas.microsoft.com/office/drawing/2014/main" id="{4E2B98E0-DEEF-49E5-BC8E-303795693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161442</xdr:colOff>
      <xdr:row>14</xdr:row>
      <xdr:rowOff>71086</xdr:rowOff>
    </xdr:from>
    <xdr:to>
      <xdr:col>11</xdr:col>
      <xdr:colOff>250234</xdr:colOff>
      <xdr:row>15</xdr:row>
      <xdr:rowOff>78413</xdr:rowOff>
    </xdr:to>
    <xdr:sp macro="" textlink="">
      <xdr:nvSpPr>
        <xdr:cNvPr id="59" name="TextBox 58">
          <a:extLst>
            <a:ext uri="{FF2B5EF4-FFF2-40B4-BE49-F238E27FC236}">
              <a16:creationId xmlns:a16="http://schemas.microsoft.com/office/drawing/2014/main" id="{29A3FFAF-3319-96B8-E8AF-C53C1A15C6E0}"/>
            </a:ext>
          </a:extLst>
        </xdr:cNvPr>
        <xdr:cNvSpPr txBox="1"/>
      </xdr:nvSpPr>
      <xdr:spPr>
        <a:xfrm>
          <a:off x="4479980" y="2783289"/>
          <a:ext cx="2542690" cy="20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         </a:t>
          </a:r>
          <a:r>
            <a:rPr lang="en-IN" sz="1000" b="0"/>
            <a:t>No</a:t>
          </a:r>
          <a:r>
            <a:rPr lang="en-IN" sz="1000" b="0" baseline="0"/>
            <a:t> of patient by department refferal</a:t>
          </a:r>
          <a:endParaRPr lang="en-IN" sz="1100" b="0"/>
        </a:p>
      </xdr:txBody>
    </xdr:sp>
    <xdr:clientData/>
  </xdr:twoCellAnchor>
  <xdr:twoCellAnchor editAs="oneCell">
    <xdr:from>
      <xdr:col>5</xdr:col>
      <xdr:colOff>322881</xdr:colOff>
      <xdr:row>1</xdr:row>
      <xdr:rowOff>8071</xdr:rowOff>
    </xdr:from>
    <xdr:to>
      <xdr:col>7</xdr:col>
      <xdr:colOff>32287</xdr:colOff>
      <xdr:row>3</xdr:row>
      <xdr:rowOff>48433</xdr:rowOff>
    </xdr:to>
    <mc:AlternateContent xmlns:mc="http://schemas.openxmlformats.org/markup-compatibility/2006">
      <mc:Choice xmlns:a14="http://schemas.microsoft.com/office/drawing/2010/main" Requires="a14">
        <xdr:graphicFrame macro="">
          <xdr:nvGraphicFramePr>
            <xdr:cNvPr id="60" name="Date (Year)">
              <a:extLst>
                <a:ext uri="{FF2B5EF4-FFF2-40B4-BE49-F238E27FC236}">
                  <a16:creationId xmlns:a16="http://schemas.microsoft.com/office/drawing/2014/main" id="{E1CD2090-CF47-4C31-A564-41406F6A1EE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14470" y="201800"/>
              <a:ext cx="936355" cy="42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285750</xdr:colOff>
      <xdr:row>17</xdr:row>
      <xdr:rowOff>38100</xdr:rowOff>
    </xdr:to>
    <xdr:graphicFrame macro="">
      <xdr:nvGraphicFramePr>
        <xdr:cNvPr id="2" name="Chart 1">
          <a:extLst>
            <a:ext uri="{FF2B5EF4-FFF2-40B4-BE49-F238E27FC236}">
              <a16:creationId xmlns:a16="http://schemas.microsoft.com/office/drawing/2014/main" id="{CC3BDF0E-CBA4-4050-8094-CD406653C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0.00346</cdr:x>
      <cdr:y>0</cdr:y>
    </cdr:from>
    <cdr:to>
      <cdr:x>0.06057</cdr:x>
      <cdr:y>0.17405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7A33121-C6B8-AAEE-EC42-5AA68CF8CD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1750" y="0"/>
          <a:ext cx="523875" cy="52387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161925</xdr:colOff>
      <xdr:row>1</xdr:row>
      <xdr:rowOff>66674</xdr:rowOff>
    </xdr:from>
    <xdr:to>
      <xdr:col>15</xdr:col>
      <xdr:colOff>276225</xdr:colOff>
      <xdr:row>21</xdr:row>
      <xdr:rowOff>152400</xdr:rowOff>
    </xdr:to>
    <xdr:graphicFrame macro="">
      <xdr:nvGraphicFramePr>
        <xdr:cNvPr id="2" name="Chart 1">
          <a:extLst>
            <a:ext uri="{FF2B5EF4-FFF2-40B4-BE49-F238E27FC236}">
              <a16:creationId xmlns:a16="http://schemas.microsoft.com/office/drawing/2014/main" id="{7BE3756B-0D86-4626-AFA6-79F90218B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0.0308</cdr:x>
      <cdr:y>0.02282</cdr:y>
    </cdr:from>
    <cdr:to>
      <cdr:x>0.09058</cdr:x>
      <cdr:y>0.15729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80C0D45-8614-ABC0-B0CA-59DB7319FA4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69875" y="88900"/>
          <a:ext cx="523875" cy="52387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257175</xdr:colOff>
      <xdr:row>0</xdr:row>
      <xdr:rowOff>123824</xdr:rowOff>
    </xdr:from>
    <xdr:to>
      <xdr:col>15</xdr:col>
      <xdr:colOff>171450</xdr:colOff>
      <xdr:row>16</xdr:row>
      <xdr:rowOff>161925</xdr:rowOff>
    </xdr:to>
    <xdr:graphicFrame macro="">
      <xdr:nvGraphicFramePr>
        <xdr:cNvPr id="2" name="Chart 1">
          <a:extLst>
            <a:ext uri="{FF2B5EF4-FFF2-40B4-BE49-F238E27FC236}">
              <a16:creationId xmlns:a16="http://schemas.microsoft.com/office/drawing/2014/main" id="{DA9965BD-807B-44BA-8FC8-DB87FA157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0.03234</cdr:x>
      <cdr:y>0.01558</cdr:y>
    </cdr:from>
    <cdr:to>
      <cdr:x>0.0982</cdr:x>
      <cdr:y>0.18692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B25319C-CA17-D814-7399-DB85376A3B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57175" y="47625"/>
          <a:ext cx="523875" cy="52387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4837962" createdVersion="5" refreshedVersion="8" minRefreshableVersion="3" recordCount="0" supportSubquery="1" supportAdvancedDrill="1" xr:uid="{E41ED916-B28B-4431-8F4E-94F665C3406A}">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5532408" createdVersion="5" refreshedVersion="8" minRefreshableVersion="3" recordCount="0" supportSubquery="1" supportAdvancedDrill="1" xr:uid="{07A3EF51-7895-4C9D-A660-80650BEC3912}">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6342593" createdVersion="5" refreshedVersion="8" minRefreshableVersion="3" recordCount="0" supportSubquery="1" supportAdvancedDrill="1" xr:uid="{0CC41BE6-531F-463E-B3F8-B1387C979A2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7268517" createdVersion="5" refreshedVersion="8" minRefreshableVersion="3" recordCount="0" supportSubquery="1" supportAdvancedDrill="1" xr:uid="{99B46104-81A5-4C2D-9DF6-6F3BDA1A49A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8310187" createdVersion="5" refreshedVersion="8" minRefreshableVersion="3" recordCount="0" supportSubquery="1" supportAdvancedDrill="1" xr:uid="{696AB78F-858D-4ED5-9CD5-290BB02B667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9120372" createdVersion="5" refreshedVersion="8" minRefreshableVersion="3" recordCount="0" supportSubquery="1" supportAdvancedDrill="1" xr:uid="{F6D90A41-8ED8-4F31-94B5-0273BFE0F424}">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39699073" createdVersion="5" refreshedVersion="8" minRefreshableVersion="3" recordCount="0" supportSubquery="1" supportAdvancedDrill="1" xr:uid="{61FB54DC-47F1-45F3-A3E1-BB53FA3B6522}">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40740742" createdVersion="5" refreshedVersion="8" minRefreshableVersion="3" recordCount="0" supportSubquery="1" supportAdvancedDrill="1" xr:uid="{55414329-42EC-437F-B04A-68A6BE894C1C}">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42129628" createdVersion="5" refreshedVersion="8" minRefreshableVersion="3" recordCount="0" supportSubquery="1" supportAdvancedDrill="1" xr:uid="{1CB3E3C6-6F54-432D-9D39-AF07C26D19CB}">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43749999" createdVersion="5" refreshedVersion="8" minRefreshableVersion="3" recordCount="0" supportSubquery="1" supportAdvancedDrill="1" xr:uid="{E611C7CC-ECAE-4B19-9A63-81BFEDD86BE9}">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45486108" createdVersion="5" refreshedVersion="8" minRefreshableVersion="3" recordCount="0" supportSubquery="1" supportAdvancedDrill="1" xr:uid="{BDD8B5B4-BE5E-4FAA-A570-1BA8A313EEA4}">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7647106485" createdVersion="5" refreshedVersion="8" minRefreshableVersion="3" recordCount="0" supportSubquery="1" supportAdvancedDrill="1" xr:uid="{47722DF7-03D0-4511-94F8-4855D4B7399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 R KUMAR" refreshedDate="46023.802711342592" createdVersion="3" refreshedVersion="8" minRefreshableVersion="3" recordCount="0" supportSubquery="1" supportAdvancedDrill="1" xr:uid="{1F2572AC-984E-4FFF-BD30-9674D081414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517825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91DB8-1593-48EB-9454-3439FACFADB7}" name="PivotTable13" cacheId="1068" applyNumberFormats="0" applyBorderFormats="0" applyFontFormats="0" applyPatternFormats="0" applyAlignmentFormats="0" applyWidthHeightFormats="1" dataCaption="Values" tag="8d31d292-997a-4961-a6cb-73a2f604ecd7" updatedVersion="8" minRefreshableVersion="3" subtotalHiddenItems="1" itemPrintTitles="1" createdVersion="5" indent="0" outline="1" outlineData="1" multipleFieldFilters="0" chartFormat="18">
  <location ref="A96:A98"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11">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CE1AB-4240-4669-9DE7-A39585F1E5E2}" name="PivotTable12" cacheId="1080" applyNumberFormats="0" applyBorderFormats="0" applyFontFormats="0" applyPatternFormats="0" applyAlignmentFormats="0" applyWidthHeightFormats="1" dataCaption="Values" tag="71eb3c0d-05ea-40f7-a1ae-414b4fac7f90" updatedVersion="8" minRefreshableVersion="3" subtotalHiddenItems="1" itemPrintTitles="1" createdVersion="5" indent="0" outline="1" outlineData="1" multipleFieldFilters="0" chartFormat="18">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12">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B5FE6-3912-4932-8568-F7C64C5B8AC9}" name="PivotTable11" cacheId="1077" applyNumberFormats="0" applyBorderFormats="0" applyFontFormats="0" applyPatternFormats="0" applyAlignmentFormats="0" applyWidthHeightFormats="1" dataCaption="Values" tag="f65b5716-b8f9-4fb6-aac7-e7643ee85933" updatedVersion="8" minRefreshableVersion="3" subtotalHiddenItems="1" itemPrintTitles="1" createdVersion="5" indent="0" outline="1" outlineData="1" multipleFieldFilters="0" chartFormat="16">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3">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115007-338A-4BDC-B613-4FBAC75E0B7E}" name="PivotTable10" cacheId="1074" applyNumberFormats="0" applyBorderFormats="0" applyFontFormats="0" applyPatternFormats="0" applyAlignmentFormats="0" applyWidthHeightFormats="1" dataCaption="Values" tag="938d1704-ce52-4431-8cec-d31dac21bf66" updatedVersion="8" minRefreshableVersion="3" subtotalHiddenItems="1" itemPrintTitles="1" createdVersion="5" indent="0" outline="1" outlineData="1" multipleFieldFilters="0" chartFormat="11">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4">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D43E6-FDF3-4B72-BB16-B7D97F137A49}" name="PivotTable9" cacheId="1101" applyNumberFormats="0" applyBorderFormats="0" applyFontFormats="0" applyPatternFormats="0" applyAlignmentFormats="0" applyWidthHeightFormats="1" dataCaption="Values" tag="54fac03c-d3ce-44a2-955c-b863b0c2f216" updatedVersion="8" minRefreshableVersion="3" subtotalHiddenItems="1" itemPrintTitles="1" createdVersion="5" indent="0" outline="1" outlineData="1" multipleFieldFilters="0" chartFormat="6">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476E94-1817-4730-82DE-86B263E0AE10}" name="PivotTable8" cacheId="1098" applyNumberFormats="0" applyBorderFormats="0" applyFontFormats="0" applyPatternFormats="0" applyAlignmentFormats="0" applyWidthHeightFormats="1" dataCaption="Values" tag="d88495ed-3475-434b-8c85-f0ac5623b7d3" updatedVersion="8" minRefreshableVersion="3" subtotalHiddenItems="1" itemPrintTitles="1" createdVersion="5" indent="0" outline="1" outlineData="1" multipleFieldFilters="0" chartFormat="2">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6">
      <pivotArea outline="0" collapsedLevelsAreSubtotals="1" fieldPosition="0"/>
    </format>
    <format dxfId="1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CDEAB0-F08E-4BBA-9E1C-6623E836AE85}" name="PivotTable5" cacheId="1092" applyNumberFormats="0" applyBorderFormats="0" applyFontFormats="0" applyPatternFormats="0" applyAlignmentFormats="0" applyWidthHeightFormats="1" dataCaption="Values" tag="822399b5-c148-4434-bc5a-fabe41f47eee" updatedVersion="8" minRefreshableVersion="3" subtotalHiddenItems="1" itemPrintTitles="1" createdVersion="5" indent="0" outline="1" outlineData="1" multipleFieldFilters="0" chartFormat="38">
  <location ref="L5:M37"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8">
      <pivotArea outline="0" collapsedLevelsAreSubtotals="1" fieldPosition="0"/>
    </format>
  </formats>
  <chartFormats count="5">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A0980-6C40-4E40-84CB-12C392E0D1D5}" name="PivotTable7" cacheId="1095" applyNumberFormats="0" applyBorderFormats="0" applyFontFormats="0" applyPatternFormats="0" applyAlignmentFormats="0" applyWidthHeightFormats="1" dataCaption="Values" tag="822399b5-c148-4434-bc5a-fabe41f47eee" updatedVersion="8" minRefreshableVersion="3" subtotalHiddenItems="1" itemPrintTitles="1" createdVersion="5" indent="0" outline="1" outlineData="1" multipleFieldFilters="0" chartFormat="15">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6"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2FB68C-4E28-4FF5-B863-DD2D2C1BBCBA}" name="PivotTable4" cacheId="1089" applyNumberFormats="0" applyBorderFormats="0" applyFontFormats="0" applyPatternFormats="0" applyAlignmentFormats="0" applyWidthHeightFormats="1" dataCaption="Values" tag="822399b5-c148-4434-bc5a-fabe41f47eee" updatedVersion="8" minRefreshableVersion="3" subtotalHiddenItems="1" itemPrintTitles="1" createdVersion="5" indent="0" outline="1" outlineData="1" multipleFieldFilters="0" chartFormat="26">
  <location ref="I5:J37"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9">
      <pivotArea outline="0" collapsedLevelsAreSubtotals="1" fieldPosition="0"/>
    </format>
  </formats>
  <chartFormats count="2">
    <chartFormat chart="17" format="5"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051E2D-CDFF-4D6D-9C8D-A78944F7292C}" name="PivotTable3" cacheId="1086" applyNumberFormats="0" applyBorderFormats="0" applyFontFormats="0" applyPatternFormats="0" applyAlignmentFormats="0" applyWidthHeightFormats="1" dataCaption="Values" tag="09cd9ce0-5195-4a12-9eda-30ed8ab31eb0"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0">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5A2B16-687B-4442-A013-B9A8F9F1F14B}" name="PivotTable2" cacheId="1083" applyNumberFormats="0" applyBorderFormats="0" applyFontFormats="0" applyPatternFormats="0" applyAlignmentFormats="0" applyWidthHeightFormats="1" dataCaption="Values" tag="243b42c6-605f-4abc-814f-1ddeae7341b5"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7AC6D3-6CF4-4C6B-A4AF-D16212C321FE}" name="PivotTable1" cacheId="1071" applyNumberFormats="0" applyBorderFormats="0" applyFontFormats="0" applyPatternFormats="0" applyAlignmentFormats="0" applyWidthHeightFormats="1" dataCaption="Values" tag="8cdf1849-0e43-4179-b5ed-484ceebb3c9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FA16368-896C-4A42-A2B3-678F611383A2}" sourceName="[Calender_Table].[Date (Month)]">
  <pivotTables>
    <pivotTable tabId="1" name="PivotTable7"/>
    <pivotTable tabId="1" name="PivotTable1"/>
    <pivotTable tabId="1" name="PivotTable2"/>
    <pivotTable tabId="1" name="PivotTable3"/>
    <pivotTable tabId="1" name="PivotTable4"/>
    <pivotTable tabId="1" name="PivotTable5"/>
    <pivotTable tabId="1" name="PivotTable8"/>
    <pivotTable tabId="1" name="PivotTable9"/>
    <pivotTable tabId="1" name="PivotTable10"/>
    <pivotTable tabId="1" name="PivotTable11"/>
    <pivotTable tabId="1" name="PivotTable12"/>
    <pivotTable tabId="1" name="PivotTable13"/>
  </pivotTables>
  <data>
    <olap pivotCacheId="75178255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4C4C2B7-1B3A-47A6-910D-5E95AB2AAD0E}"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7"/>
    <pivotTable tabId="1" name="PivotTable8"/>
    <pivotTable tabId="1" name="PivotTable9"/>
  </pivotTables>
  <data>
    <olap pivotCacheId="751782550">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04FBDD0-B80D-4E39-9953-3FE54565E3CF}" cache="Slicer_Date__Month" caption="Date (Month)" showCaption="0" level="1" style="My style" rowHeight="129600"/>
  <slicer name="Date (Year)" xr10:uid="{A8567A22-9ACB-4B83-96AD-D33114E279AC}" cache="Slicer_Date__Year" caption="Date (Year)" columnCount="2" showCaption="0" level="1" style="My styl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E86D2-3242-4E30-BCD5-77BB050DE56B}">
  <dimension ref="A3:M98"/>
  <sheetViews>
    <sheetView topLeftCell="A87" workbookViewId="0">
      <selection activeCell="O4" sqref="O4"/>
    </sheetView>
  </sheetViews>
  <sheetFormatPr defaultRowHeight="15" x14ac:dyDescent="0.25"/>
  <cols>
    <col min="1" max="1" width="18.28515625" customWidth="1"/>
    <col min="2" max="2" width="30.28515625" bestFit="1" customWidth="1"/>
    <col min="3" max="3" width="12.5703125" customWidth="1"/>
    <col min="4" max="4" width="21.28515625" customWidth="1"/>
    <col min="5" max="6" width="26" bestFit="1" customWidth="1"/>
    <col min="10" max="10" width="26" bestFit="1" customWidth="1"/>
    <col min="13" max="13" width="34.85546875" bestFit="1" customWidth="1"/>
  </cols>
  <sheetData>
    <row r="3" spans="1:13" x14ac:dyDescent="0.25">
      <c r="A3" t="s">
        <v>1</v>
      </c>
      <c r="E3" t="s">
        <v>7</v>
      </c>
    </row>
    <row r="4" spans="1:13" x14ac:dyDescent="0.25">
      <c r="A4" t="s">
        <v>0</v>
      </c>
      <c r="E4" s="1" t="s">
        <v>4</v>
      </c>
      <c r="F4" t="s">
        <v>0</v>
      </c>
      <c r="I4" t="s">
        <v>8</v>
      </c>
      <c r="L4" t="s">
        <v>9</v>
      </c>
    </row>
    <row r="5" spans="1:13" x14ac:dyDescent="0.25">
      <c r="A5" s="10">
        <v>506</v>
      </c>
      <c r="E5" s="4" t="s">
        <v>20</v>
      </c>
      <c r="F5" s="10">
        <v>19</v>
      </c>
      <c r="I5" s="1" t="s">
        <v>4</v>
      </c>
      <c r="J5" t="s">
        <v>2</v>
      </c>
      <c r="L5" s="1" t="s">
        <v>4</v>
      </c>
      <c r="M5" t="s">
        <v>3</v>
      </c>
    </row>
    <row r="6" spans="1:13" x14ac:dyDescent="0.25">
      <c r="E6" s="4" t="s">
        <v>21</v>
      </c>
      <c r="F6" s="10">
        <v>24</v>
      </c>
      <c r="I6" s="4" t="s">
        <v>20</v>
      </c>
      <c r="J6" s="2">
        <v>34.526315789473685</v>
      </c>
      <c r="L6" s="4" t="s">
        <v>20</v>
      </c>
      <c r="M6" s="2">
        <v>7.2</v>
      </c>
    </row>
    <row r="7" spans="1:13" x14ac:dyDescent="0.25">
      <c r="E7" s="4" t="s">
        <v>22</v>
      </c>
      <c r="F7" s="10">
        <v>24</v>
      </c>
      <c r="I7" s="4" t="s">
        <v>21</v>
      </c>
      <c r="J7" s="2">
        <v>33.708333333333336</v>
      </c>
      <c r="L7" s="4" t="s">
        <v>21</v>
      </c>
      <c r="M7" s="2">
        <v>6</v>
      </c>
    </row>
    <row r="8" spans="1:13" x14ac:dyDescent="0.25">
      <c r="E8" s="4" t="s">
        <v>23</v>
      </c>
      <c r="F8" s="10">
        <v>14</v>
      </c>
      <c r="I8" s="4" t="s">
        <v>22</v>
      </c>
      <c r="J8" s="2">
        <v>36.291666666666664</v>
      </c>
      <c r="L8" s="4" t="s">
        <v>22</v>
      </c>
      <c r="M8" s="2">
        <v>1.5</v>
      </c>
    </row>
    <row r="9" spans="1:13" x14ac:dyDescent="0.25">
      <c r="A9" t="s">
        <v>2</v>
      </c>
      <c r="E9" s="4" t="s">
        <v>24</v>
      </c>
      <c r="F9" s="10">
        <v>14</v>
      </c>
      <c r="I9" s="4" t="s">
        <v>23</v>
      </c>
      <c r="J9" s="2">
        <v>35.071428571428569</v>
      </c>
      <c r="L9" s="4" t="s">
        <v>23</v>
      </c>
      <c r="M9" s="2">
        <v>2.75</v>
      </c>
    </row>
    <row r="10" spans="1:13" x14ac:dyDescent="0.25">
      <c r="A10" s="2">
        <v>35.879446640316203</v>
      </c>
      <c r="E10" s="4" t="s">
        <v>25</v>
      </c>
      <c r="F10" s="10">
        <v>16</v>
      </c>
      <c r="I10" s="4" t="s">
        <v>24</v>
      </c>
      <c r="J10" s="2">
        <v>31.571428571428573</v>
      </c>
      <c r="L10" s="4" t="s">
        <v>24</v>
      </c>
      <c r="M10" s="2">
        <v>5</v>
      </c>
    </row>
    <row r="11" spans="1:13" x14ac:dyDescent="0.25">
      <c r="E11" s="4" t="s">
        <v>26</v>
      </c>
      <c r="F11" s="10">
        <v>26</v>
      </c>
      <c r="I11" s="4" t="s">
        <v>25</v>
      </c>
      <c r="J11" s="2">
        <v>31.8125</v>
      </c>
      <c r="L11" s="4" t="s">
        <v>25</v>
      </c>
      <c r="M11" s="2">
        <v>5.5</v>
      </c>
    </row>
    <row r="12" spans="1:13" x14ac:dyDescent="0.25">
      <c r="E12" s="4" t="s">
        <v>27</v>
      </c>
      <c r="F12" s="10">
        <v>14</v>
      </c>
      <c r="I12" s="4" t="s">
        <v>26</v>
      </c>
      <c r="J12" s="2">
        <v>36.846153846153847</v>
      </c>
      <c r="L12" s="4" t="s">
        <v>26</v>
      </c>
      <c r="M12" s="2">
        <v>5.0909090909090908</v>
      </c>
    </row>
    <row r="13" spans="1:13" x14ac:dyDescent="0.25">
      <c r="E13" s="4" t="s">
        <v>28</v>
      </c>
      <c r="F13" s="10">
        <v>22</v>
      </c>
      <c r="I13" s="4" t="s">
        <v>27</v>
      </c>
      <c r="J13" s="2">
        <v>34.071428571428569</v>
      </c>
      <c r="L13" s="4" t="s">
        <v>27</v>
      </c>
      <c r="M13" s="2">
        <v>7.666666666666667</v>
      </c>
    </row>
    <row r="14" spans="1:13" x14ac:dyDescent="0.25">
      <c r="A14" t="s">
        <v>3</v>
      </c>
      <c r="E14" s="4" t="s">
        <v>29</v>
      </c>
      <c r="F14" s="10">
        <v>18</v>
      </c>
      <c r="I14" s="4" t="s">
        <v>28</v>
      </c>
      <c r="J14" s="2">
        <v>33</v>
      </c>
      <c r="L14" s="4" t="s">
        <v>28</v>
      </c>
      <c r="M14" s="2">
        <v>3.5</v>
      </c>
    </row>
    <row r="15" spans="1:13" x14ac:dyDescent="0.25">
      <c r="A15" s="2">
        <v>5.3277310924369745</v>
      </c>
      <c r="E15" s="4" t="s">
        <v>30</v>
      </c>
      <c r="F15" s="10">
        <v>20</v>
      </c>
      <c r="I15" s="4" t="s">
        <v>29</v>
      </c>
      <c r="J15" s="2">
        <v>40.222222222222221</v>
      </c>
      <c r="L15" s="4" t="s">
        <v>29</v>
      </c>
      <c r="M15" s="2">
        <v>3.6666666666666665</v>
      </c>
    </row>
    <row r="16" spans="1:13" x14ac:dyDescent="0.25">
      <c r="E16" s="4" t="s">
        <v>31</v>
      </c>
      <c r="F16" s="10">
        <v>13</v>
      </c>
      <c r="I16" s="4" t="s">
        <v>30</v>
      </c>
      <c r="J16" s="2">
        <v>42.05</v>
      </c>
      <c r="L16" s="4" t="s">
        <v>30</v>
      </c>
      <c r="M16" s="2">
        <v>3.8</v>
      </c>
    </row>
    <row r="17" spans="5:13" x14ac:dyDescent="0.25">
      <c r="E17" s="4" t="s">
        <v>32</v>
      </c>
      <c r="F17" s="10">
        <v>13</v>
      </c>
      <c r="I17" s="4" t="s">
        <v>31</v>
      </c>
      <c r="J17" s="2">
        <v>42.615384615384613</v>
      </c>
      <c r="L17" s="4" t="s">
        <v>31</v>
      </c>
      <c r="M17" s="2">
        <v>1</v>
      </c>
    </row>
    <row r="18" spans="5:13" x14ac:dyDescent="0.25">
      <c r="E18" s="4" t="s">
        <v>33</v>
      </c>
      <c r="F18" s="10">
        <v>14</v>
      </c>
      <c r="I18" s="4" t="s">
        <v>32</v>
      </c>
      <c r="J18" s="2">
        <v>40.46153846153846</v>
      </c>
      <c r="L18" s="4" t="s">
        <v>32</v>
      </c>
      <c r="M18" s="2">
        <v>7</v>
      </c>
    </row>
    <row r="19" spans="5:13" x14ac:dyDescent="0.25">
      <c r="E19" s="4" t="s">
        <v>34</v>
      </c>
      <c r="F19" s="10">
        <v>13</v>
      </c>
      <c r="I19" s="4" t="s">
        <v>33</v>
      </c>
      <c r="J19" s="2">
        <v>34.071428571428569</v>
      </c>
      <c r="L19" s="4" t="s">
        <v>33</v>
      </c>
      <c r="M19" s="2">
        <v>5</v>
      </c>
    </row>
    <row r="20" spans="5:13" x14ac:dyDescent="0.25">
      <c r="E20" s="4" t="s">
        <v>35</v>
      </c>
      <c r="F20" s="10">
        <v>18</v>
      </c>
      <c r="I20" s="4" t="s">
        <v>34</v>
      </c>
      <c r="J20" s="2">
        <v>33.92307692307692</v>
      </c>
      <c r="L20" s="4" t="s">
        <v>34</v>
      </c>
      <c r="M20" s="2">
        <v>4.25</v>
      </c>
    </row>
    <row r="21" spans="5:13" x14ac:dyDescent="0.25">
      <c r="E21" s="4" t="s">
        <v>36</v>
      </c>
      <c r="F21" s="10">
        <v>12</v>
      </c>
      <c r="I21" s="4" t="s">
        <v>35</v>
      </c>
      <c r="J21" s="2">
        <v>43.166666666666664</v>
      </c>
      <c r="L21" s="4" t="s">
        <v>35</v>
      </c>
      <c r="M21" s="2">
        <v>4</v>
      </c>
    </row>
    <row r="22" spans="5:13" x14ac:dyDescent="0.25">
      <c r="E22" s="4" t="s">
        <v>37</v>
      </c>
      <c r="F22" s="10">
        <v>11</v>
      </c>
      <c r="I22" s="4" t="s">
        <v>36</v>
      </c>
      <c r="J22" s="2">
        <v>42.25</v>
      </c>
      <c r="L22" s="4" t="s">
        <v>36</v>
      </c>
      <c r="M22" s="2">
        <v>7.333333333333333</v>
      </c>
    </row>
    <row r="23" spans="5:13" x14ac:dyDescent="0.25">
      <c r="E23" s="4" t="s">
        <v>38</v>
      </c>
      <c r="F23" s="10">
        <v>14</v>
      </c>
      <c r="I23" s="4" t="s">
        <v>37</v>
      </c>
      <c r="J23" s="2">
        <v>44.090909090909093</v>
      </c>
      <c r="L23" s="4" t="s">
        <v>37</v>
      </c>
      <c r="M23" s="2">
        <v>9</v>
      </c>
    </row>
    <row r="24" spans="5:13" x14ac:dyDescent="0.25">
      <c r="E24" s="4" t="s">
        <v>39</v>
      </c>
      <c r="F24" s="10">
        <v>12</v>
      </c>
      <c r="I24" s="4" t="s">
        <v>38</v>
      </c>
      <c r="J24" s="2">
        <v>39</v>
      </c>
      <c r="L24" s="4" t="s">
        <v>38</v>
      </c>
      <c r="M24" s="2">
        <v>5.25</v>
      </c>
    </row>
    <row r="25" spans="5:13" x14ac:dyDescent="0.25">
      <c r="E25" s="4" t="s">
        <v>40</v>
      </c>
      <c r="F25" s="10">
        <v>16</v>
      </c>
      <c r="I25" s="4" t="s">
        <v>39</v>
      </c>
      <c r="J25" s="2">
        <v>31.25</v>
      </c>
      <c r="L25" s="4" t="s">
        <v>39</v>
      </c>
      <c r="M25" s="2">
        <v>6.6</v>
      </c>
    </row>
    <row r="26" spans="5:13" x14ac:dyDescent="0.25">
      <c r="E26" s="4" t="s">
        <v>41</v>
      </c>
      <c r="F26" s="10">
        <v>16</v>
      </c>
      <c r="I26" s="4" t="s">
        <v>40</v>
      </c>
      <c r="J26" s="2">
        <v>28.5</v>
      </c>
      <c r="L26" s="4" t="s">
        <v>40</v>
      </c>
      <c r="M26" s="2">
        <v>6.25</v>
      </c>
    </row>
    <row r="27" spans="5:13" x14ac:dyDescent="0.25">
      <c r="E27" s="4" t="s">
        <v>42</v>
      </c>
      <c r="F27" s="10">
        <v>15</v>
      </c>
      <c r="I27" s="4" t="s">
        <v>41</v>
      </c>
      <c r="J27" s="2">
        <v>34.0625</v>
      </c>
      <c r="L27" s="4" t="s">
        <v>41</v>
      </c>
      <c r="M27" s="2">
        <v>6.333333333333333</v>
      </c>
    </row>
    <row r="28" spans="5:13" x14ac:dyDescent="0.25">
      <c r="E28" s="4" t="s">
        <v>43</v>
      </c>
      <c r="F28" s="10">
        <v>22</v>
      </c>
      <c r="I28" s="4" t="s">
        <v>42</v>
      </c>
      <c r="J28" s="2">
        <v>25.2</v>
      </c>
      <c r="L28" s="4" t="s">
        <v>42</v>
      </c>
      <c r="M28" s="2">
        <v>7</v>
      </c>
    </row>
    <row r="29" spans="5:13" x14ac:dyDescent="0.25">
      <c r="E29" s="4" t="s">
        <v>44</v>
      </c>
      <c r="F29" s="10">
        <v>18</v>
      </c>
      <c r="I29" s="4" t="s">
        <v>43</v>
      </c>
      <c r="J29" s="2">
        <v>35.863636363636367</v>
      </c>
      <c r="L29" s="4" t="s">
        <v>43</v>
      </c>
      <c r="M29" s="2">
        <v>5.666666666666667</v>
      </c>
    </row>
    <row r="30" spans="5:13" x14ac:dyDescent="0.25">
      <c r="E30" s="4" t="s">
        <v>45</v>
      </c>
      <c r="F30" s="10">
        <v>10</v>
      </c>
      <c r="I30" s="4" t="s">
        <v>44</v>
      </c>
      <c r="J30" s="2">
        <v>39.833333333333336</v>
      </c>
      <c r="L30" s="4" t="s">
        <v>44</v>
      </c>
      <c r="M30" s="2">
        <v>3.3333333333333335</v>
      </c>
    </row>
    <row r="31" spans="5:13" x14ac:dyDescent="0.25">
      <c r="E31" s="4" t="s">
        <v>46</v>
      </c>
      <c r="F31" s="10">
        <v>17</v>
      </c>
      <c r="I31" s="4" t="s">
        <v>45</v>
      </c>
      <c r="J31" s="2">
        <v>37</v>
      </c>
      <c r="L31" s="4" t="s">
        <v>45</v>
      </c>
      <c r="M31" s="2">
        <v>4.75</v>
      </c>
    </row>
    <row r="32" spans="5:13" x14ac:dyDescent="0.25">
      <c r="E32" s="4" t="s">
        <v>47</v>
      </c>
      <c r="F32" s="10">
        <v>17</v>
      </c>
      <c r="I32" s="4" t="s">
        <v>46</v>
      </c>
      <c r="J32" s="2">
        <v>39.411764705882355</v>
      </c>
      <c r="L32" s="4" t="s">
        <v>46</v>
      </c>
      <c r="M32" s="2">
        <v>2</v>
      </c>
    </row>
    <row r="33" spans="1:13" x14ac:dyDescent="0.25">
      <c r="E33" s="4" t="s">
        <v>48</v>
      </c>
      <c r="F33" s="10">
        <v>12</v>
      </c>
      <c r="I33" s="4" t="s">
        <v>47</v>
      </c>
      <c r="J33" s="2">
        <v>30.294117647058822</v>
      </c>
      <c r="L33" s="4" t="s">
        <v>47</v>
      </c>
      <c r="M33" s="2">
        <v>9.25</v>
      </c>
    </row>
    <row r="34" spans="1:13" x14ac:dyDescent="0.25">
      <c r="E34" s="4" t="s">
        <v>49</v>
      </c>
      <c r="F34" s="10">
        <v>14</v>
      </c>
      <c r="I34" s="4" t="s">
        <v>48</v>
      </c>
      <c r="J34" s="2">
        <v>32.666666666666664</v>
      </c>
      <c r="L34" s="4" t="s">
        <v>48</v>
      </c>
      <c r="M34" s="2">
        <v>2.6666666666666665</v>
      </c>
    </row>
    <row r="35" spans="1:13" x14ac:dyDescent="0.25">
      <c r="E35" s="4" t="s">
        <v>50</v>
      </c>
      <c r="F35" s="10">
        <v>18</v>
      </c>
      <c r="I35" s="4" t="s">
        <v>49</v>
      </c>
      <c r="J35" s="2">
        <v>30.571428571428573</v>
      </c>
      <c r="L35" s="4" t="s">
        <v>49</v>
      </c>
      <c r="M35" s="2">
        <v>4</v>
      </c>
    </row>
    <row r="36" spans="1:13" x14ac:dyDescent="0.25">
      <c r="E36" s="4" t="s">
        <v>5</v>
      </c>
      <c r="F36" s="10">
        <v>506</v>
      </c>
      <c r="I36" s="4" t="s">
        <v>50</v>
      </c>
      <c r="J36" s="2">
        <v>39.055555555555557</v>
      </c>
      <c r="L36" s="4" t="s">
        <v>50</v>
      </c>
      <c r="M36" s="2">
        <v>8.75</v>
      </c>
    </row>
    <row r="37" spans="1:13" x14ac:dyDescent="0.25">
      <c r="I37" s="4" t="s">
        <v>5</v>
      </c>
      <c r="J37" s="2">
        <v>35.879446640316203</v>
      </c>
      <c r="L37" s="4" t="s">
        <v>5</v>
      </c>
      <c r="M37" s="2">
        <v>5.3277310924369745</v>
      </c>
    </row>
    <row r="40" spans="1:13" x14ac:dyDescent="0.25">
      <c r="A40" s="1" t="s">
        <v>4</v>
      </c>
      <c r="B40" t="s">
        <v>13</v>
      </c>
      <c r="C40" t="s">
        <v>16</v>
      </c>
    </row>
    <row r="41" spans="1:13" x14ac:dyDescent="0.25">
      <c r="A41" s="4" t="s">
        <v>14</v>
      </c>
      <c r="B41" s="11">
        <v>253</v>
      </c>
      <c r="C41" s="12">
        <v>0.5</v>
      </c>
    </row>
    <row r="42" spans="1:13" x14ac:dyDescent="0.25">
      <c r="A42" s="4" t="s">
        <v>15</v>
      </c>
      <c r="B42" s="11">
        <v>253</v>
      </c>
      <c r="C42" s="12">
        <v>0.5</v>
      </c>
    </row>
    <row r="43" spans="1:13" x14ac:dyDescent="0.25">
      <c r="A43" s="4" t="s">
        <v>5</v>
      </c>
      <c r="B43" s="11">
        <v>506</v>
      </c>
      <c r="C43" s="12">
        <v>1</v>
      </c>
    </row>
    <row r="46" spans="1:13" x14ac:dyDescent="0.25">
      <c r="A46" s="14" t="s">
        <v>17</v>
      </c>
      <c r="B46" s="14" t="s">
        <v>51</v>
      </c>
      <c r="C46" s="14" t="s">
        <v>18</v>
      </c>
      <c r="D46" s="14" t="s">
        <v>19</v>
      </c>
    </row>
    <row r="47" spans="1:13" x14ac:dyDescent="0.25">
      <c r="A47" s="15" t="str">
        <f>A42</f>
        <v>Not Admitted</v>
      </c>
      <c r="B47" s="16">
        <f>B42</f>
        <v>253</v>
      </c>
      <c r="C47" s="17">
        <f t="shared" ref="C47" si="0">C42</f>
        <v>0.5</v>
      </c>
      <c r="D47" s="9"/>
    </row>
    <row r="48" spans="1:13" ht="24.75" customHeight="1" x14ac:dyDescent="0.25">
      <c r="A48" s="15" t="str">
        <f>A41</f>
        <v>Admitted</v>
      </c>
      <c r="B48" s="15">
        <f t="shared" ref="B48:C48" si="1">B41</f>
        <v>253</v>
      </c>
      <c r="C48" s="17">
        <f t="shared" si="1"/>
        <v>0.5</v>
      </c>
      <c r="D48" s="9"/>
    </row>
    <row r="51" spans="1:6" x14ac:dyDescent="0.25">
      <c r="A51" t="s">
        <v>61</v>
      </c>
      <c r="C51" s="13"/>
    </row>
    <row r="52" spans="1:6" x14ac:dyDescent="0.25">
      <c r="A52" s="1" t="s">
        <v>4</v>
      </c>
      <c r="B52" t="s">
        <v>60</v>
      </c>
    </row>
    <row r="53" spans="1:6" x14ac:dyDescent="0.25">
      <c r="A53" s="4" t="s">
        <v>52</v>
      </c>
      <c r="B53" s="11">
        <v>64</v>
      </c>
    </row>
    <row r="54" spans="1:6" x14ac:dyDescent="0.25">
      <c r="A54" s="4" t="s">
        <v>53</v>
      </c>
      <c r="B54" s="11">
        <v>66</v>
      </c>
    </row>
    <row r="55" spans="1:6" x14ac:dyDescent="0.25">
      <c r="A55" s="4" t="s">
        <v>54</v>
      </c>
      <c r="B55" s="11">
        <v>65</v>
      </c>
      <c r="F55" s="3"/>
    </row>
    <row r="56" spans="1:6" x14ac:dyDescent="0.25">
      <c r="A56" s="4" t="s">
        <v>55</v>
      </c>
      <c r="B56" s="11">
        <v>73</v>
      </c>
    </row>
    <row r="57" spans="1:6" x14ac:dyDescent="0.25">
      <c r="A57" s="4" t="s">
        <v>56</v>
      </c>
      <c r="B57" s="11">
        <v>45</v>
      </c>
    </row>
    <row r="58" spans="1:6" x14ac:dyDescent="0.25">
      <c r="A58" s="4" t="s">
        <v>57</v>
      </c>
      <c r="B58" s="11">
        <v>72</v>
      </c>
    </row>
    <row r="59" spans="1:6" x14ac:dyDescent="0.25">
      <c r="A59" s="4" t="s">
        <v>58</v>
      </c>
      <c r="B59" s="11">
        <v>74</v>
      </c>
    </row>
    <row r="60" spans="1:6" x14ac:dyDescent="0.25">
      <c r="A60" s="4" t="s">
        <v>59</v>
      </c>
      <c r="B60" s="11">
        <v>47</v>
      </c>
    </row>
    <row r="61" spans="1:6" x14ac:dyDescent="0.25">
      <c r="A61" s="4" t="s">
        <v>5</v>
      </c>
      <c r="B61" s="11">
        <v>506</v>
      </c>
    </row>
    <row r="66" spans="1:2" x14ac:dyDescent="0.25">
      <c r="A66" t="s">
        <v>65</v>
      </c>
    </row>
    <row r="67" spans="1:2" x14ac:dyDescent="0.25">
      <c r="A67" s="1" t="s">
        <v>4</v>
      </c>
      <c r="B67" t="s">
        <v>64</v>
      </c>
    </row>
    <row r="68" spans="1:2" x14ac:dyDescent="0.25">
      <c r="A68" s="4" t="s">
        <v>62</v>
      </c>
      <c r="B68" s="11">
        <v>312</v>
      </c>
    </row>
    <row r="69" spans="1:2" x14ac:dyDescent="0.25">
      <c r="A69" s="4" t="s">
        <v>63</v>
      </c>
      <c r="B69" s="11">
        <v>194</v>
      </c>
    </row>
    <row r="70" spans="1:2" x14ac:dyDescent="0.25">
      <c r="A70" s="4" t="s">
        <v>5</v>
      </c>
      <c r="B70" s="11">
        <v>506</v>
      </c>
    </row>
    <row r="74" spans="1:2" x14ac:dyDescent="0.25">
      <c r="A74" t="s">
        <v>69</v>
      </c>
    </row>
    <row r="75" spans="1:2" x14ac:dyDescent="0.25">
      <c r="A75" s="1" t="s">
        <v>4</v>
      </c>
      <c r="B75" t="s">
        <v>68</v>
      </c>
    </row>
    <row r="76" spans="1:2" x14ac:dyDescent="0.25">
      <c r="A76" s="4" t="s">
        <v>66</v>
      </c>
      <c r="B76" s="11">
        <v>231</v>
      </c>
    </row>
    <row r="77" spans="1:2" x14ac:dyDescent="0.25">
      <c r="A77" s="4" t="s">
        <v>67</v>
      </c>
      <c r="B77" s="11">
        <v>275</v>
      </c>
    </row>
    <row r="78" spans="1:2" x14ac:dyDescent="0.25">
      <c r="A78" s="4" t="s">
        <v>5</v>
      </c>
      <c r="B78" s="11">
        <v>506</v>
      </c>
    </row>
    <row r="82" spans="1:2" x14ac:dyDescent="0.25">
      <c r="A82" s="1" t="s">
        <v>4</v>
      </c>
      <c r="B82" t="s">
        <v>78</v>
      </c>
    </row>
    <row r="83" spans="1:2" x14ac:dyDescent="0.25">
      <c r="A83" s="4" t="s">
        <v>77</v>
      </c>
      <c r="B83" s="11">
        <v>3</v>
      </c>
    </row>
    <row r="84" spans="1:2" x14ac:dyDescent="0.25">
      <c r="A84" s="4" t="s">
        <v>73</v>
      </c>
      <c r="B84" s="11">
        <v>5</v>
      </c>
    </row>
    <row r="85" spans="1:2" x14ac:dyDescent="0.25">
      <c r="A85" s="4" t="s">
        <v>71</v>
      </c>
      <c r="B85" s="11">
        <v>6</v>
      </c>
    </row>
    <row r="86" spans="1:2" x14ac:dyDescent="0.25">
      <c r="A86" s="4" t="s">
        <v>76</v>
      </c>
      <c r="B86" s="11">
        <v>14</v>
      </c>
    </row>
    <row r="87" spans="1:2" x14ac:dyDescent="0.25">
      <c r="A87" s="4" t="s">
        <v>70</v>
      </c>
      <c r="B87" s="11">
        <v>15</v>
      </c>
    </row>
    <row r="88" spans="1:2" x14ac:dyDescent="0.25">
      <c r="A88" s="4" t="s">
        <v>75</v>
      </c>
      <c r="B88" s="11">
        <v>59</v>
      </c>
    </row>
    <row r="89" spans="1:2" x14ac:dyDescent="0.25">
      <c r="A89" s="4" t="s">
        <v>72</v>
      </c>
      <c r="B89" s="11">
        <v>93</v>
      </c>
    </row>
    <row r="90" spans="1:2" x14ac:dyDescent="0.25">
      <c r="A90" s="4" t="s">
        <v>74</v>
      </c>
      <c r="B90" s="11">
        <v>311</v>
      </c>
    </row>
    <row r="91" spans="1:2" x14ac:dyDescent="0.25">
      <c r="A91" s="4" t="s">
        <v>5</v>
      </c>
      <c r="B91" s="11">
        <v>506</v>
      </c>
    </row>
    <row r="96" spans="1:2" x14ac:dyDescent="0.25">
      <c r="A96" s="1" t="s">
        <v>4</v>
      </c>
    </row>
    <row r="97" spans="1:1" x14ac:dyDescent="0.25">
      <c r="A97" s="4" t="s">
        <v>79</v>
      </c>
    </row>
    <row r="98" spans="1:1" x14ac:dyDescent="0.25">
      <c r="A98"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EA41-E9CB-47E7-A81E-5FE21BD350E3}">
  <dimension ref="A1:N21"/>
  <sheetViews>
    <sheetView tabSelected="1" zoomScale="118" zoomScaleNormal="118" workbookViewId="0">
      <selection activeCell="O19" sqref="O19"/>
    </sheetView>
  </sheetViews>
  <sheetFormatPr defaultRowHeight="15" x14ac:dyDescent="0.25"/>
  <cols>
    <col min="1" max="1" width="9.5703125" customWidth="1"/>
  </cols>
  <sheetData>
    <row r="1" spans="1:14" x14ac:dyDescent="0.25">
      <c r="A1" s="3"/>
      <c r="B1" s="3"/>
      <c r="C1" s="3"/>
      <c r="D1" s="3"/>
      <c r="E1" s="3"/>
      <c r="F1" s="3"/>
      <c r="G1" s="3"/>
      <c r="H1" s="3"/>
      <c r="I1" s="3"/>
      <c r="J1" s="3"/>
      <c r="K1" s="3"/>
      <c r="L1" s="3"/>
      <c r="M1" s="18"/>
      <c r="N1" s="18"/>
    </row>
    <row r="2" spans="1:14" x14ac:dyDescent="0.25">
      <c r="A2" s="3"/>
      <c r="B2" s="3"/>
      <c r="C2" s="3"/>
      <c r="D2" s="3"/>
      <c r="E2" s="3"/>
      <c r="F2" s="3"/>
      <c r="G2" s="3"/>
      <c r="H2" s="3"/>
      <c r="I2" s="3"/>
      <c r="J2" s="3"/>
      <c r="K2" s="3"/>
      <c r="L2" s="3"/>
      <c r="M2" s="18"/>
      <c r="N2" s="18"/>
    </row>
    <row r="3" spans="1:14" x14ac:dyDescent="0.25">
      <c r="A3" s="3"/>
      <c r="B3" s="3"/>
      <c r="C3" s="3"/>
      <c r="D3" s="3"/>
      <c r="E3" s="3"/>
      <c r="F3" s="3"/>
      <c r="G3" s="3"/>
      <c r="H3" s="3"/>
      <c r="I3" s="3"/>
      <c r="J3" s="3"/>
      <c r="K3" s="3"/>
      <c r="L3" s="3"/>
      <c r="M3" s="18"/>
      <c r="N3" s="18"/>
    </row>
    <row r="4" spans="1:14" x14ac:dyDescent="0.25">
      <c r="A4" s="3"/>
      <c r="B4" s="3"/>
      <c r="C4" s="3"/>
      <c r="D4" s="3"/>
      <c r="E4" s="3"/>
      <c r="F4" s="3"/>
      <c r="G4" s="3"/>
      <c r="H4" s="3"/>
      <c r="I4" s="3"/>
      <c r="J4" s="3"/>
      <c r="K4" s="3"/>
      <c r="L4" s="3"/>
      <c r="M4" s="18"/>
      <c r="N4" s="18"/>
    </row>
    <row r="5" spans="1:14" x14ac:dyDescent="0.25">
      <c r="A5" s="3"/>
      <c r="B5" s="3"/>
      <c r="C5" s="3"/>
      <c r="D5" s="3"/>
      <c r="E5" s="3"/>
      <c r="F5" s="3"/>
      <c r="G5" s="3"/>
      <c r="H5" s="3"/>
      <c r="I5" s="3"/>
      <c r="J5" s="3"/>
      <c r="K5" s="3"/>
      <c r="L5" s="3"/>
      <c r="M5" s="18"/>
      <c r="N5" s="18"/>
    </row>
    <row r="6" spans="1:14" x14ac:dyDescent="0.25">
      <c r="A6" s="3"/>
      <c r="B6" s="3"/>
      <c r="C6" s="3"/>
      <c r="D6" s="3"/>
      <c r="E6" s="3"/>
      <c r="F6" s="3"/>
      <c r="G6" s="3"/>
      <c r="H6" s="3"/>
      <c r="I6" s="3"/>
      <c r="J6" s="3"/>
      <c r="K6" s="3"/>
      <c r="L6" s="3"/>
      <c r="M6" s="18"/>
      <c r="N6" s="18"/>
    </row>
    <row r="7" spans="1:14" x14ac:dyDescent="0.25">
      <c r="A7" s="3"/>
      <c r="B7" s="3"/>
      <c r="C7" s="3"/>
      <c r="D7" s="3"/>
      <c r="E7" s="3"/>
      <c r="F7" s="3"/>
      <c r="G7" s="3"/>
      <c r="H7" s="3"/>
      <c r="I7" s="3"/>
      <c r="J7" s="3"/>
      <c r="K7" s="3"/>
      <c r="L7" s="3"/>
      <c r="M7" s="18"/>
      <c r="N7" s="18"/>
    </row>
    <row r="8" spans="1:14" x14ac:dyDescent="0.25">
      <c r="A8" s="3"/>
      <c r="B8" s="3"/>
      <c r="C8" s="3"/>
      <c r="D8" s="3"/>
      <c r="E8" s="3"/>
      <c r="F8" s="3"/>
      <c r="G8" s="3"/>
      <c r="H8" s="3"/>
      <c r="I8" s="3"/>
      <c r="J8" s="3"/>
      <c r="K8" s="3"/>
      <c r="L8" s="3"/>
      <c r="M8" s="18"/>
      <c r="N8" s="18"/>
    </row>
    <row r="9" spans="1:14" x14ac:dyDescent="0.25">
      <c r="A9" s="3"/>
      <c r="B9" s="3"/>
      <c r="C9" s="3"/>
      <c r="D9" s="3"/>
      <c r="E9" s="3"/>
      <c r="F9" s="3"/>
      <c r="G9" s="3"/>
      <c r="H9" s="3"/>
      <c r="I9" s="3"/>
      <c r="J9" s="3"/>
      <c r="K9" s="3"/>
      <c r="L9" s="3"/>
      <c r="M9" s="18"/>
      <c r="N9" s="18"/>
    </row>
    <row r="10" spans="1:14" x14ac:dyDescent="0.25">
      <c r="A10" s="3"/>
      <c r="B10" s="3"/>
      <c r="C10" s="3"/>
      <c r="D10" s="3"/>
      <c r="E10" s="3"/>
      <c r="F10" s="3"/>
      <c r="G10" s="3"/>
      <c r="H10" s="3"/>
      <c r="I10" s="3"/>
      <c r="J10" s="3"/>
      <c r="K10" s="3"/>
      <c r="L10" s="3"/>
      <c r="M10" s="18"/>
      <c r="N10" s="18"/>
    </row>
    <row r="11" spans="1:14" x14ac:dyDescent="0.25">
      <c r="A11" s="3"/>
      <c r="B11" s="3"/>
      <c r="C11" s="3"/>
      <c r="D11" s="3"/>
      <c r="E11" s="3"/>
      <c r="F11" s="3"/>
      <c r="G11" s="3"/>
      <c r="H11" s="3"/>
      <c r="I11" s="3"/>
      <c r="J11" s="3"/>
      <c r="K11" s="3"/>
      <c r="L11" s="3"/>
      <c r="M11" s="18"/>
      <c r="N11" s="18"/>
    </row>
    <row r="12" spans="1:14" x14ac:dyDescent="0.25">
      <c r="A12" s="3"/>
      <c r="B12" s="3"/>
      <c r="C12" s="3"/>
      <c r="D12" s="3"/>
      <c r="E12" s="3"/>
      <c r="F12" s="3"/>
      <c r="G12" s="3"/>
      <c r="H12" s="3"/>
      <c r="I12" s="3"/>
      <c r="J12" s="3"/>
      <c r="K12" s="3"/>
      <c r="L12" s="3"/>
      <c r="M12" s="18"/>
      <c r="N12" s="18"/>
    </row>
    <row r="13" spans="1:14" x14ac:dyDescent="0.25">
      <c r="A13" s="3"/>
      <c r="B13" s="3"/>
      <c r="C13" s="3"/>
      <c r="D13" s="3"/>
      <c r="E13" s="3"/>
      <c r="F13" s="3"/>
      <c r="G13" s="3"/>
      <c r="H13" s="3"/>
      <c r="I13" s="3"/>
      <c r="J13" s="3"/>
      <c r="K13" s="3"/>
      <c r="L13" s="3"/>
      <c r="M13" s="18"/>
      <c r="N13" s="18"/>
    </row>
    <row r="14" spans="1:14" x14ac:dyDescent="0.25">
      <c r="A14" s="3"/>
      <c r="B14" s="3"/>
      <c r="C14" s="3"/>
      <c r="D14" s="3"/>
      <c r="E14" s="3"/>
      <c r="F14" s="3"/>
      <c r="G14" s="3"/>
      <c r="H14" s="3"/>
      <c r="I14" s="3"/>
      <c r="J14" s="3"/>
      <c r="K14" s="3"/>
      <c r="L14" s="3"/>
      <c r="M14" s="18"/>
      <c r="N14" s="18"/>
    </row>
    <row r="15" spans="1:14" x14ac:dyDescent="0.25">
      <c r="A15" s="3"/>
      <c r="B15" s="3"/>
      <c r="C15" s="3"/>
      <c r="D15" s="3"/>
      <c r="E15" s="3"/>
      <c r="F15" s="3"/>
      <c r="G15" s="3"/>
      <c r="H15" s="3"/>
      <c r="I15" s="3"/>
      <c r="J15" s="3"/>
      <c r="K15" s="3"/>
      <c r="L15" s="3"/>
      <c r="M15" s="18"/>
      <c r="N15" s="18"/>
    </row>
    <row r="16" spans="1:14" x14ac:dyDescent="0.25">
      <c r="A16" s="3"/>
      <c r="B16" s="3"/>
      <c r="C16" s="3"/>
      <c r="D16" s="3"/>
      <c r="E16" s="3"/>
      <c r="F16" s="3"/>
      <c r="G16" s="3"/>
      <c r="H16" s="3"/>
      <c r="I16" s="3"/>
      <c r="J16" s="3"/>
      <c r="K16" s="3"/>
      <c r="L16" s="3"/>
      <c r="M16" s="18"/>
      <c r="N16" s="18"/>
    </row>
    <row r="17" spans="1:14" x14ac:dyDescent="0.25">
      <c r="A17" s="18"/>
      <c r="B17" s="18"/>
      <c r="C17" s="18"/>
      <c r="D17" s="18"/>
      <c r="E17" s="18"/>
      <c r="F17" s="18"/>
      <c r="G17" s="18"/>
      <c r="H17" s="18"/>
      <c r="I17" s="18"/>
      <c r="J17" s="18"/>
      <c r="K17" s="18"/>
      <c r="L17" s="18"/>
      <c r="M17" s="18"/>
      <c r="N17" s="18"/>
    </row>
    <row r="18" spans="1:14" x14ac:dyDescent="0.25">
      <c r="A18" s="18"/>
      <c r="B18" s="18"/>
      <c r="C18" s="18"/>
      <c r="D18" s="18"/>
      <c r="E18" s="18"/>
      <c r="F18" s="18"/>
      <c r="G18" s="18"/>
      <c r="H18" s="18"/>
      <c r="I18" s="18"/>
      <c r="J18" s="18"/>
      <c r="K18" s="18"/>
      <c r="L18" s="18"/>
      <c r="M18" s="18"/>
      <c r="N18" s="18"/>
    </row>
    <row r="19" spans="1:14" x14ac:dyDescent="0.25">
      <c r="A19" s="18"/>
      <c r="B19" s="18"/>
      <c r="C19" s="18"/>
      <c r="D19" s="18"/>
      <c r="E19" s="18"/>
      <c r="F19" s="18"/>
      <c r="G19" s="18"/>
      <c r="H19" s="18"/>
      <c r="I19" s="18"/>
      <c r="J19" s="18"/>
      <c r="K19" s="18"/>
      <c r="L19" s="18"/>
      <c r="M19" s="18"/>
      <c r="N19" s="18"/>
    </row>
    <row r="20" spans="1:14" x14ac:dyDescent="0.25">
      <c r="A20" s="18"/>
      <c r="B20" s="18"/>
      <c r="C20" s="18"/>
      <c r="D20" s="18"/>
      <c r="E20" s="18"/>
      <c r="F20" s="18"/>
      <c r="G20" s="18"/>
      <c r="H20" s="18"/>
      <c r="I20" s="18"/>
      <c r="J20" s="18"/>
      <c r="K20" s="18"/>
      <c r="L20" s="18"/>
      <c r="M20" s="18"/>
      <c r="N20" s="18"/>
    </row>
    <row r="21" spans="1:14" x14ac:dyDescent="0.25">
      <c r="A21" s="18"/>
      <c r="B21" s="18"/>
      <c r="C21" s="18"/>
      <c r="D21" s="18"/>
      <c r="E21" s="18"/>
      <c r="F21" s="18"/>
      <c r="G21" s="18"/>
      <c r="H21" s="18"/>
      <c r="I21" s="18"/>
      <c r="J21" s="18"/>
      <c r="K21" s="18"/>
      <c r="L21" s="18"/>
      <c r="M21" s="18"/>
      <c r="N21"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5257-BF82-4541-B418-FC4376B76C9D}">
  <dimension ref="A1:Q22"/>
  <sheetViews>
    <sheetView workbookViewId="0"/>
  </sheetViews>
  <sheetFormatPr defaultRowHeight="15" x14ac:dyDescent="0.25"/>
  <sheetData>
    <row r="1" spans="1:17" x14ac:dyDescent="0.25">
      <c r="A1" s="5"/>
      <c r="B1" s="5"/>
      <c r="C1" s="5"/>
      <c r="D1" s="5"/>
      <c r="E1" s="5"/>
      <c r="F1" s="5"/>
      <c r="G1" s="5"/>
      <c r="H1" s="5"/>
      <c r="I1" s="5"/>
      <c r="J1" s="5"/>
      <c r="K1" s="5"/>
      <c r="L1" s="5"/>
      <c r="M1" s="5"/>
      <c r="N1" s="5"/>
      <c r="O1" s="5"/>
      <c r="P1" s="5"/>
      <c r="Q1" s="5"/>
    </row>
    <row r="2" spans="1:17" x14ac:dyDescent="0.25">
      <c r="A2" s="5"/>
      <c r="B2" s="5"/>
      <c r="C2" s="5"/>
      <c r="D2" s="5"/>
      <c r="E2" s="5"/>
      <c r="F2" s="5"/>
      <c r="G2" s="5"/>
      <c r="H2" s="5"/>
      <c r="I2" s="5"/>
      <c r="J2" s="5"/>
      <c r="K2" s="5"/>
      <c r="L2" s="5"/>
      <c r="M2" s="5"/>
      <c r="N2" s="5"/>
      <c r="O2" s="5"/>
      <c r="P2" s="5"/>
      <c r="Q2" s="5"/>
    </row>
    <row r="3" spans="1:17" x14ac:dyDescent="0.25">
      <c r="A3" s="5"/>
      <c r="B3" s="5"/>
      <c r="C3" s="5"/>
      <c r="D3" s="5"/>
      <c r="E3" s="5"/>
      <c r="F3" s="5"/>
      <c r="G3" s="5"/>
      <c r="H3" s="5"/>
      <c r="I3" s="5"/>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x14ac:dyDescent="0.25">
      <c r="A6" s="5"/>
      <c r="B6" s="5"/>
      <c r="C6" s="5"/>
      <c r="D6" s="5"/>
      <c r="E6" s="5"/>
      <c r="F6" s="5"/>
      <c r="G6" s="5"/>
      <c r="H6" s="5"/>
      <c r="I6" s="5"/>
      <c r="J6" s="5"/>
      <c r="K6" s="5"/>
      <c r="L6" s="5"/>
      <c r="M6" s="5"/>
      <c r="N6" s="5"/>
      <c r="O6" s="5"/>
      <c r="P6" s="5"/>
      <c r="Q6" s="5"/>
    </row>
    <row r="7" spans="1:17" x14ac:dyDescent="0.25">
      <c r="A7" s="5"/>
      <c r="B7" s="5"/>
      <c r="C7" s="5"/>
      <c r="D7" s="5"/>
      <c r="E7" s="5"/>
      <c r="F7" s="5"/>
      <c r="G7" s="5"/>
      <c r="H7" s="5"/>
      <c r="I7" s="5"/>
      <c r="J7" s="5"/>
      <c r="K7" s="5"/>
      <c r="L7" s="5"/>
      <c r="M7" s="5"/>
      <c r="N7" s="5"/>
      <c r="O7" s="5"/>
      <c r="P7" s="5"/>
      <c r="Q7" s="5"/>
    </row>
    <row r="8" spans="1:17" x14ac:dyDescent="0.25">
      <c r="A8" s="5"/>
      <c r="B8" s="5"/>
      <c r="C8" s="5"/>
      <c r="D8" s="5"/>
      <c r="E8" s="5"/>
      <c r="F8" s="5"/>
      <c r="G8" s="5"/>
      <c r="H8" s="5"/>
      <c r="I8" s="5"/>
      <c r="J8" s="5"/>
      <c r="K8" s="5"/>
      <c r="L8" s="5"/>
      <c r="M8" s="5"/>
      <c r="N8" s="5"/>
      <c r="O8" s="5"/>
      <c r="P8" s="5"/>
      <c r="Q8" s="5"/>
    </row>
    <row r="9" spans="1:17" x14ac:dyDescent="0.25">
      <c r="A9" s="5"/>
      <c r="B9" s="5"/>
      <c r="C9" s="5"/>
      <c r="D9" s="5"/>
      <c r="E9" s="5"/>
      <c r="F9" s="5"/>
      <c r="G9" s="5"/>
      <c r="H9" s="5"/>
      <c r="I9" s="5"/>
      <c r="J9" s="5"/>
      <c r="K9" s="5"/>
      <c r="L9" s="5"/>
      <c r="M9" s="5"/>
      <c r="N9" s="5"/>
      <c r="O9" s="5"/>
      <c r="P9" s="5"/>
      <c r="Q9" s="5"/>
    </row>
    <row r="10" spans="1:17" x14ac:dyDescent="0.25">
      <c r="A10" s="5"/>
      <c r="B10" s="5"/>
      <c r="C10" s="5"/>
      <c r="D10" s="5"/>
      <c r="E10" s="5"/>
      <c r="F10" s="5"/>
      <c r="G10" s="5"/>
      <c r="H10" s="5"/>
      <c r="I10" s="5"/>
      <c r="J10" s="5"/>
      <c r="K10" s="5"/>
      <c r="L10" s="5"/>
      <c r="M10" s="5"/>
      <c r="N10" s="5"/>
      <c r="O10" s="5"/>
      <c r="P10" s="5"/>
      <c r="Q10" s="5"/>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5"/>
      <c r="B13" s="5"/>
      <c r="C13" s="5"/>
      <c r="D13" s="5"/>
      <c r="E13" s="5"/>
      <c r="F13" s="5"/>
      <c r="G13" s="5"/>
      <c r="H13" s="5"/>
      <c r="I13" s="5"/>
      <c r="J13" s="5"/>
      <c r="K13" s="5"/>
      <c r="L13" s="5"/>
      <c r="M13" s="5"/>
      <c r="N13" s="5"/>
      <c r="O13" s="5"/>
      <c r="P13" s="5"/>
      <c r="Q13" s="5"/>
    </row>
    <row r="14" spans="1:17" x14ac:dyDescent="0.25">
      <c r="A14" s="5"/>
      <c r="B14" s="5"/>
      <c r="C14" s="5"/>
      <c r="D14" s="5"/>
      <c r="E14" s="5"/>
      <c r="F14" s="5"/>
      <c r="G14" s="5"/>
      <c r="H14" s="5"/>
      <c r="I14" s="5"/>
      <c r="J14" s="5"/>
      <c r="K14" s="5"/>
      <c r="L14" s="5"/>
      <c r="M14" s="5"/>
      <c r="N14" s="5"/>
      <c r="O14" s="5"/>
      <c r="P14" s="5"/>
      <c r="Q14" s="5"/>
    </row>
    <row r="15" spans="1:17" x14ac:dyDescent="0.25">
      <c r="A15" s="5"/>
      <c r="B15" s="5"/>
      <c r="C15" s="5"/>
      <c r="D15" s="5"/>
      <c r="E15" s="5"/>
      <c r="F15" s="5"/>
      <c r="G15" s="5"/>
      <c r="H15" s="5"/>
      <c r="I15" s="5"/>
      <c r="J15" s="5"/>
      <c r="K15" s="5"/>
      <c r="L15" s="5"/>
      <c r="M15" s="5"/>
      <c r="N15" s="5"/>
      <c r="O15" s="5"/>
      <c r="P15" s="5"/>
      <c r="Q15" s="5"/>
    </row>
    <row r="16" spans="1:17" x14ac:dyDescent="0.25">
      <c r="A16" s="5"/>
      <c r="B16" s="5"/>
      <c r="C16" s="5"/>
      <c r="D16" s="5"/>
      <c r="E16" s="5"/>
      <c r="F16" s="5"/>
      <c r="G16" s="5"/>
      <c r="H16" s="5"/>
      <c r="I16" s="5"/>
      <c r="J16" s="5"/>
      <c r="K16" s="5"/>
      <c r="L16" s="5"/>
      <c r="M16" s="5"/>
      <c r="N16" s="5"/>
      <c r="O16" s="5"/>
      <c r="P16" s="5"/>
      <c r="Q16" s="5"/>
    </row>
    <row r="17" spans="1:17" x14ac:dyDescent="0.25">
      <c r="A17" s="5"/>
      <c r="B17" s="5"/>
      <c r="C17" s="5"/>
      <c r="D17" s="5"/>
      <c r="E17" s="5"/>
      <c r="F17" s="5"/>
      <c r="G17" s="5"/>
      <c r="H17" s="5"/>
      <c r="I17" s="5"/>
      <c r="J17" s="5"/>
      <c r="K17" s="5"/>
      <c r="L17" s="5"/>
      <c r="M17" s="5"/>
      <c r="N17" s="5"/>
      <c r="O17" s="5"/>
      <c r="P17" s="5"/>
      <c r="Q17" s="5"/>
    </row>
    <row r="18" spans="1:17" x14ac:dyDescent="0.25">
      <c r="A18" s="5"/>
      <c r="B18" s="5"/>
      <c r="C18" s="5"/>
      <c r="D18" s="5"/>
      <c r="E18" s="5"/>
      <c r="F18" s="5"/>
      <c r="G18" s="5"/>
      <c r="H18" s="5"/>
      <c r="I18" s="5"/>
      <c r="J18" s="5"/>
      <c r="K18" s="5"/>
      <c r="L18" s="5"/>
      <c r="M18" s="5"/>
      <c r="N18" s="5"/>
      <c r="O18" s="5"/>
      <c r="P18" s="5"/>
      <c r="Q18" s="5"/>
    </row>
    <row r="19" spans="1:17" x14ac:dyDescent="0.25">
      <c r="A19" s="5"/>
      <c r="B19" s="5" t="s">
        <v>10</v>
      </c>
      <c r="C19" s="5"/>
      <c r="D19" s="5"/>
      <c r="E19" s="5"/>
      <c r="F19" s="5"/>
      <c r="G19" s="5"/>
      <c r="H19" s="5"/>
      <c r="I19" s="5"/>
      <c r="J19" s="5"/>
      <c r="K19" s="5"/>
      <c r="L19" s="5"/>
      <c r="M19" s="5"/>
      <c r="N19" s="5"/>
      <c r="O19" s="5"/>
      <c r="P19" s="5"/>
      <c r="Q19" s="5"/>
    </row>
    <row r="20" spans="1:17" x14ac:dyDescent="0.25">
      <c r="A20" s="5"/>
      <c r="B20" s="5"/>
      <c r="C20" s="5"/>
      <c r="D20" s="5"/>
      <c r="E20" s="5"/>
      <c r="F20" s="5"/>
      <c r="G20" s="5"/>
      <c r="H20" s="5"/>
      <c r="I20" s="5"/>
      <c r="J20" s="5"/>
      <c r="K20" s="5"/>
      <c r="L20" s="5"/>
      <c r="M20" s="5"/>
      <c r="N20" s="5"/>
      <c r="O20" s="5"/>
      <c r="P20" s="5"/>
      <c r="Q20" s="5"/>
    </row>
    <row r="21" spans="1:17" x14ac:dyDescent="0.25">
      <c r="A21" s="5"/>
      <c r="B21" s="5"/>
      <c r="C21" s="5"/>
      <c r="D21" s="5"/>
      <c r="E21" s="5"/>
      <c r="F21" s="5"/>
      <c r="G21" s="5"/>
      <c r="H21" s="5"/>
      <c r="I21" s="5"/>
      <c r="J21" s="5"/>
      <c r="K21" s="5"/>
      <c r="L21" s="5"/>
      <c r="M21" s="5"/>
      <c r="N21" s="5"/>
      <c r="O21" s="5"/>
      <c r="P21" s="5"/>
      <c r="Q21" s="5"/>
    </row>
    <row r="22" spans="1:17" x14ac:dyDescent="0.25">
      <c r="A22" s="5"/>
      <c r="B22" s="5"/>
      <c r="C22" s="5"/>
      <c r="D22" s="5"/>
      <c r="E22" s="5"/>
      <c r="F22" s="5"/>
      <c r="G22" s="5"/>
      <c r="H22" s="5"/>
      <c r="I22" s="5"/>
      <c r="J22" s="5"/>
      <c r="K22" s="5"/>
      <c r="L22" s="5"/>
      <c r="M22" s="5"/>
      <c r="N22" s="5"/>
      <c r="O22" s="5"/>
      <c r="P22" s="5"/>
      <c r="Q2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FA56-1C1F-4574-9C90-B759A5D939D7}">
  <dimension ref="A1:Q28"/>
  <sheetViews>
    <sheetView workbookViewId="0"/>
  </sheetViews>
  <sheetFormatPr defaultRowHeight="15" x14ac:dyDescent="0.25"/>
  <sheetData>
    <row r="1" spans="1:17" x14ac:dyDescent="0.25">
      <c r="A1" s="5"/>
      <c r="B1" s="5"/>
      <c r="C1" s="5"/>
      <c r="D1" s="5"/>
      <c r="E1" s="5"/>
      <c r="F1" s="5"/>
      <c r="G1" s="5"/>
      <c r="H1" s="5"/>
      <c r="I1" s="5"/>
      <c r="J1" s="5"/>
      <c r="K1" s="5"/>
      <c r="L1" s="5"/>
      <c r="M1" s="5"/>
      <c r="N1" s="5"/>
      <c r="O1" s="5"/>
      <c r="P1" s="5"/>
      <c r="Q1" s="5"/>
    </row>
    <row r="2" spans="1:17" x14ac:dyDescent="0.25">
      <c r="A2" s="5"/>
      <c r="B2" s="5"/>
      <c r="C2" s="5"/>
      <c r="D2" s="5"/>
      <c r="E2" s="5"/>
      <c r="F2" s="5"/>
      <c r="G2" s="5"/>
      <c r="H2" s="5"/>
      <c r="I2" s="5"/>
      <c r="J2" s="5"/>
      <c r="K2" s="5"/>
      <c r="L2" s="5"/>
      <c r="M2" s="5"/>
      <c r="N2" s="5"/>
      <c r="O2" s="5"/>
      <c r="P2" s="5"/>
      <c r="Q2" s="5"/>
    </row>
    <row r="3" spans="1:17" x14ac:dyDescent="0.25">
      <c r="A3" s="5"/>
      <c r="B3" s="5"/>
      <c r="C3" s="5"/>
      <c r="D3" s="5"/>
      <c r="E3" s="5"/>
      <c r="F3" s="5"/>
      <c r="G3" s="5"/>
      <c r="H3" s="5"/>
      <c r="I3" s="5"/>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x14ac:dyDescent="0.25">
      <c r="A6" s="5"/>
      <c r="B6" s="5"/>
      <c r="C6" s="5"/>
      <c r="D6" s="5"/>
      <c r="E6" s="5"/>
      <c r="F6" s="5"/>
      <c r="G6" s="5"/>
      <c r="H6" s="5"/>
      <c r="I6" s="5"/>
      <c r="J6" s="5"/>
      <c r="K6" s="5"/>
      <c r="L6" s="5"/>
      <c r="M6" s="5"/>
      <c r="N6" s="5"/>
      <c r="O6" s="5"/>
      <c r="P6" s="5"/>
      <c r="Q6" s="5"/>
    </row>
    <row r="7" spans="1:17" x14ac:dyDescent="0.25">
      <c r="A7" s="5"/>
      <c r="B7" s="5"/>
      <c r="C7" s="5"/>
      <c r="D7" s="5"/>
      <c r="E7" s="5"/>
      <c r="F7" s="5"/>
      <c r="G7" s="5"/>
      <c r="H7" s="5"/>
      <c r="I7" s="5"/>
      <c r="J7" s="5"/>
      <c r="K7" s="5"/>
      <c r="L7" s="5"/>
      <c r="M7" s="5"/>
      <c r="N7" s="5"/>
      <c r="O7" s="5"/>
      <c r="P7" s="5"/>
      <c r="Q7" s="5"/>
    </row>
    <row r="8" spans="1:17" x14ac:dyDescent="0.25">
      <c r="A8" s="5"/>
      <c r="B8" s="5"/>
      <c r="C8" s="5"/>
      <c r="D8" s="5"/>
      <c r="E8" s="5"/>
      <c r="F8" s="5"/>
      <c r="G8" s="5"/>
      <c r="H8" s="5"/>
      <c r="I8" s="5"/>
      <c r="J8" s="5"/>
      <c r="K8" s="5"/>
      <c r="L8" s="5"/>
      <c r="M8" s="5"/>
      <c r="N8" s="5"/>
      <c r="O8" s="5"/>
      <c r="P8" s="5"/>
      <c r="Q8" s="5"/>
    </row>
    <row r="9" spans="1:17" x14ac:dyDescent="0.25">
      <c r="A9" s="5"/>
      <c r="B9" s="5"/>
      <c r="C9" s="5"/>
      <c r="D9" s="5"/>
      <c r="E9" s="5"/>
      <c r="F9" s="5"/>
      <c r="G9" s="5"/>
      <c r="H9" s="5"/>
      <c r="I9" s="5"/>
      <c r="J9" s="5"/>
      <c r="K9" s="5"/>
      <c r="L9" s="5"/>
      <c r="M9" s="5"/>
      <c r="N9" s="5"/>
      <c r="O9" s="5"/>
      <c r="P9" s="5"/>
      <c r="Q9" s="5"/>
    </row>
    <row r="10" spans="1:17" x14ac:dyDescent="0.25">
      <c r="A10" s="5"/>
      <c r="B10" s="5"/>
      <c r="C10" s="5"/>
      <c r="D10" s="5"/>
      <c r="E10" s="5"/>
      <c r="F10" s="5"/>
      <c r="G10" s="5"/>
      <c r="H10" s="5"/>
      <c r="I10" s="5"/>
      <c r="J10" s="5"/>
      <c r="K10" s="5"/>
      <c r="L10" s="5"/>
      <c r="M10" s="5"/>
      <c r="N10" s="5"/>
      <c r="O10" s="5"/>
      <c r="P10" s="5"/>
      <c r="Q10" s="5"/>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5"/>
      <c r="B13" s="5"/>
      <c r="C13" s="5"/>
      <c r="D13" s="5"/>
      <c r="E13" s="5"/>
      <c r="F13" s="5"/>
      <c r="G13" s="5"/>
      <c r="H13" s="5"/>
      <c r="I13" s="5"/>
      <c r="J13" s="5"/>
      <c r="K13" s="5"/>
      <c r="L13" s="5"/>
      <c r="M13" s="5"/>
      <c r="N13" s="5"/>
      <c r="O13" s="5"/>
      <c r="P13" s="5"/>
      <c r="Q13" s="5"/>
    </row>
    <row r="14" spans="1:17" x14ac:dyDescent="0.25">
      <c r="A14" s="5"/>
      <c r="B14" s="5"/>
      <c r="C14" s="5"/>
      <c r="D14" s="5"/>
      <c r="E14" s="5"/>
      <c r="F14" s="5"/>
      <c r="G14" s="5"/>
      <c r="H14" s="5"/>
      <c r="I14" s="5"/>
      <c r="J14" s="5"/>
      <c r="K14" s="5"/>
      <c r="L14" s="5"/>
      <c r="M14" s="5"/>
      <c r="N14" s="5"/>
      <c r="O14" s="5"/>
      <c r="P14" s="5"/>
      <c r="Q14" s="5"/>
    </row>
    <row r="15" spans="1:17" x14ac:dyDescent="0.25">
      <c r="A15" s="5"/>
      <c r="B15" s="5"/>
      <c r="C15" s="5"/>
      <c r="D15" s="5"/>
      <c r="E15" s="5"/>
      <c r="F15" s="5"/>
      <c r="G15" s="5"/>
      <c r="H15" s="5"/>
      <c r="I15" s="5"/>
      <c r="J15" s="5"/>
      <c r="K15" s="5"/>
      <c r="L15" s="5"/>
      <c r="M15" s="5"/>
      <c r="N15" s="5"/>
      <c r="O15" s="5"/>
      <c r="P15" s="5"/>
      <c r="Q15" s="5"/>
    </row>
    <row r="16" spans="1:17" x14ac:dyDescent="0.25">
      <c r="A16" s="5"/>
      <c r="B16" s="5"/>
      <c r="C16" s="5"/>
      <c r="D16" s="5"/>
      <c r="E16" s="5"/>
      <c r="F16" s="5"/>
      <c r="G16" s="5"/>
      <c r="H16" s="5"/>
      <c r="I16" s="5"/>
      <c r="J16" s="5"/>
      <c r="K16" s="5"/>
      <c r="L16" s="5"/>
      <c r="M16" s="5"/>
      <c r="N16" s="5"/>
      <c r="O16" s="5"/>
      <c r="P16" s="5"/>
      <c r="Q16" s="5"/>
    </row>
    <row r="17" spans="1:17" x14ac:dyDescent="0.25">
      <c r="A17" s="5"/>
      <c r="B17" s="5"/>
      <c r="C17" s="5"/>
      <c r="D17" s="5"/>
      <c r="E17" s="5"/>
      <c r="F17" s="5"/>
      <c r="G17" s="5"/>
      <c r="H17" s="5"/>
      <c r="I17" s="5"/>
      <c r="J17" s="5"/>
      <c r="K17" s="5"/>
      <c r="L17" s="5"/>
      <c r="M17" s="5"/>
      <c r="N17" s="5"/>
      <c r="O17" s="5"/>
      <c r="P17" s="5"/>
      <c r="Q17" s="5"/>
    </row>
    <row r="18" spans="1:17" x14ac:dyDescent="0.25">
      <c r="A18" s="5"/>
      <c r="B18" s="5"/>
      <c r="C18" s="5"/>
      <c r="D18" s="5"/>
      <c r="E18" s="5"/>
      <c r="F18" s="5"/>
      <c r="G18" s="5"/>
      <c r="H18" s="5"/>
      <c r="I18" s="5"/>
      <c r="J18" s="5"/>
      <c r="K18" s="5"/>
      <c r="L18" s="5"/>
      <c r="M18" s="5"/>
      <c r="N18" s="5"/>
      <c r="O18" s="5"/>
      <c r="P18" s="5"/>
      <c r="Q18" s="5"/>
    </row>
    <row r="19" spans="1:17" x14ac:dyDescent="0.25">
      <c r="A19" s="5"/>
      <c r="B19" s="5"/>
      <c r="C19" s="5"/>
      <c r="D19" s="5"/>
      <c r="E19" s="5"/>
      <c r="F19" s="5"/>
      <c r="G19" s="5"/>
      <c r="H19" s="5"/>
      <c r="I19" s="5"/>
      <c r="J19" s="5"/>
      <c r="K19" s="5"/>
      <c r="L19" s="5"/>
      <c r="M19" s="5"/>
      <c r="N19" s="5"/>
      <c r="O19" s="5"/>
      <c r="P19" s="5"/>
      <c r="Q19" s="5"/>
    </row>
    <row r="20" spans="1:17" x14ac:dyDescent="0.25">
      <c r="A20" s="5"/>
      <c r="B20" s="5"/>
      <c r="C20" s="5"/>
      <c r="D20" s="5"/>
      <c r="E20" s="5"/>
      <c r="F20" s="5"/>
      <c r="G20" s="5"/>
      <c r="H20" s="5"/>
      <c r="I20" s="5"/>
      <c r="J20" s="5"/>
      <c r="K20" s="5"/>
      <c r="L20" s="5"/>
      <c r="M20" s="5"/>
      <c r="N20" s="5"/>
      <c r="O20" s="5"/>
      <c r="P20" s="5"/>
      <c r="Q20" s="5"/>
    </row>
    <row r="21" spans="1:17" x14ac:dyDescent="0.25">
      <c r="A21" s="5"/>
      <c r="B21" s="5"/>
      <c r="C21" s="5"/>
      <c r="D21" s="5"/>
      <c r="E21" s="5"/>
      <c r="F21" s="5"/>
      <c r="G21" s="5"/>
      <c r="H21" s="5"/>
      <c r="I21" s="5"/>
      <c r="J21" s="5"/>
      <c r="K21" s="5"/>
      <c r="L21" s="5"/>
      <c r="M21" s="5"/>
      <c r="N21" s="5"/>
      <c r="O21" s="5"/>
      <c r="P21" s="5"/>
      <c r="Q21" s="5"/>
    </row>
    <row r="22" spans="1:17" x14ac:dyDescent="0.25">
      <c r="A22" s="5"/>
      <c r="B22" s="5"/>
      <c r="C22" s="5"/>
      <c r="D22" s="5"/>
      <c r="E22" s="5"/>
      <c r="F22" s="5"/>
      <c r="G22" s="5"/>
      <c r="H22" s="5"/>
      <c r="I22" s="5"/>
      <c r="J22" s="5"/>
      <c r="K22" s="5"/>
      <c r="L22" s="5"/>
      <c r="M22" s="5"/>
      <c r="N22" s="5"/>
      <c r="O22" s="5"/>
      <c r="P22" s="5"/>
      <c r="Q22" s="5"/>
    </row>
    <row r="23" spans="1:17" x14ac:dyDescent="0.25">
      <c r="A23" s="5"/>
      <c r="B23" s="5"/>
      <c r="C23" s="5"/>
      <c r="D23" s="5"/>
      <c r="E23" s="5"/>
      <c r="F23" s="5"/>
      <c r="G23" s="5"/>
      <c r="H23" s="5"/>
      <c r="I23" s="5"/>
      <c r="J23" s="5"/>
      <c r="K23" s="5"/>
      <c r="L23" s="5"/>
      <c r="M23" s="5"/>
      <c r="N23" s="5"/>
      <c r="O23" s="5"/>
      <c r="P23" s="5"/>
      <c r="Q23" s="5"/>
    </row>
    <row r="24" spans="1:17" x14ac:dyDescent="0.25">
      <c r="A24" s="5"/>
      <c r="B24" s="5"/>
      <c r="C24" s="5"/>
      <c r="D24" s="5"/>
      <c r="E24" s="5"/>
      <c r="F24" s="5"/>
      <c r="G24" s="5"/>
      <c r="H24" s="5"/>
      <c r="I24" s="5"/>
      <c r="J24" s="5"/>
      <c r="K24" s="5"/>
      <c r="L24" s="5"/>
      <c r="M24" s="5"/>
      <c r="N24" s="5"/>
      <c r="O24" s="5"/>
      <c r="P24" s="5"/>
      <c r="Q24" s="5"/>
    </row>
    <row r="25" spans="1:17" x14ac:dyDescent="0.25">
      <c r="A25" s="5"/>
      <c r="B25" s="5"/>
      <c r="C25" s="5" t="s">
        <v>12</v>
      </c>
      <c r="D25" s="5"/>
      <c r="E25" s="5"/>
      <c r="F25" s="5"/>
      <c r="G25" s="5"/>
      <c r="H25" s="5"/>
      <c r="I25" s="5"/>
      <c r="J25" s="5"/>
      <c r="K25" s="5"/>
      <c r="L25" s="5"/>
      <c r="M25" s="5"/>
      <c r="N25" s="5"/>
      <c r="O25" s="5"/>
      <c r="P25" s="5"/>
      <c r="Q25" s="5"/>
    </row>
    <row r="26" spans="1:17" x14ac:dyDescent="0.25">
      <c r="A26" s="5"/>
      <c r="B26" s="5"/>
      <c r="C26" s="5"/>
      <c r="D26" s="5"/>
      <c r="E26" s="5"/>
      <c r="F26" s="5"/>
      <c r="G26" s="5"/>
      <c r="H26" s="5"/>
      <c r="I26" s="5"/>
      <c r="J26" s="5"/>
      <c r="K26" s="5"/>
      <c r="L26" s="5"/>
      <c r="M26" s="5"/>
      <c r="N26" s="5"/>
      <c r="O26" s="5"/>
      <c r="P26" s="5"/>
      <c r="Q26" s="5"/>
    </row>
    <row r="27" spans="1:17" x14ac:dyDescent="0.25">
      <c r="A27" s="5"/>
      <c r="B27" s="5"/>
      <c r="C27" s="5"/>
      <c r="D27" s="5"/>
      <c r="E27" s="5"/>
      <c r="F27" s="5"/>
      <c r="G27" s="5"/>
      <c r="H27" s="5"/>
      <c r="I27" s="5"/>
      <c r="J27" s="5"/>
      <c r="K27" s="5"/>
      <c r="L27" s="5"/>
      <c r="M27" s="5"/>
      <c r="N27" s="5"/>
      <c r="O27" s="5"/>
      <c r="P27" s="5"/>
      <c r="Q27" s="5"/>
    </row>
    <row r="28" spans="1:17" x14ac:dyDescent="0.25">
      <c r="A28" s="5"/>
      <c r="B28" s="5"/>
      <c r="C28" s="5"/>
      <c r="D28" s="5"/>
      <c r="E28" s="5"/>
      <c r="F28" s="5"/>
      <c r="G28" s="5"/>
      <c r="H28" s="5"/>
      <c r="I28" s="5"/>
      <c r="J28" s="5"/>
      <c r="K28" s="5"/>
      <c r="L28" s="5"/>
      <c r="M28" s="5"/>
      <c r="N28" s="5"/>
      <c r="O28" s="5"/>
      <c r="P28" s="5"/>
      <c r="Q2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DBB8-C9F1-470F-B58E-B34703E7AC29}">
  <dimension ref="A1:P19"/>
  <sheetViews>
    <sheetView workbookViewId="0"/>
  </sheetViews>
  <sheetFormatPr defaultRowHeight="15" x14ac:dyDescent="0.25"/>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x14ac:dyDescent="0.25">
      <c r="A3" s="5"/>
      <c r="B3" s="5"/>
      <c r="C3" s="5"/>
      <c r="D3" s="5"/>
      <c r="E3" s="5"/>
      <c r="F3" s="5"/>
      <c r="G3" s="5"/>
      <c r="H3" s="5"/>
      <c r="I3" s="5"/>
      <c r="J3" s="5"/>
      <c r="K3" s="5"/>
      <c r="L3" s="5"/>
      <c r="M3" s="5"/>
      <c r="N3" s="5"/>
      <c r="O3" s="5"/>
      <c r="P3" s="5"/>
    </row>
    <row r="4" spans="1:16" x14ac:dyDescent="0.25">
      <c r="A4" s="5"/>
      <c r="B4" s="5"/>
      <c r="C4" s="5"/>
      <c r="D4" s="5"/>
      <c r="E4" s="5"/>
      <c r="F4" s="5"/>
      <c r="G4" s="5"/>
      <c r="H4" s="5"/>
      <c r="I4" s="5"/>
      <c r="J4" s="5"/>
      <c r="K4" s="5"/>
      <c r="L4" s="5"/>
      <c r="M4" s="5"/>
      <c r="N4" s="5"/>
      <c r="O4" s="5"/>
      <c r="P4" s="5"/>
    </row>
    <row r="5" spans="1:16" x14ac:dyDescent="0.25">
      <c r="A5" s="5"/>
      <c r="B5" s="5"/>
      <c r="C5" s="5"/>
      <c r="D5" s="5"/>
      <c r="E5" s="5"/>
      <c r="F5" s="5"/>
      <c r="G5" s="5"/>
      <c r="H5" s="5"/>
      <c r="I5" s="5"/>
      <c r="J5" s="5"/>
      <c r="K5" s="5"/>
      <c r="L5" s="5"/>
      <c r="M5" s="5"/>
      <c r="N5" s="5"/>
      <c r="O5" s="5"/>
      <c r="P5" s="5"/>
    </row>
    <row r="6" spans="1:16" x14ac:dyDescent="0.25">
      <c r="A6" s="5"/>
      <c r="B6" s="5"/>
      <c r="C6" s="5"/>
      <c r="D6" s="5"/>
      <c r="E6" s="5"/>
      <c r="F6" s="5"/>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ht="31.5" x14ac:dyDescent="0.5">
      <c r="A12" s="5"/>
      <c r="B12" s="6"/>
      <c r="C12" s="6"/>
      <c r="D12" s="6"/>
      <c r="E12" s="6"/>
      <c r="F12" s="6"/>
      <c r="G12" s="6"/>
      <c r="H12" s="6"/>
      <c r="I12" s="6"/>
      <c r="J12" s="6"/>
      <c r="K12" s="6"/>
      <c r="L12" s="6"/>
      <c r="M12" s="7"/>
      <c r="N12" s="5"/>
      <c r="O12" s="5"/>
      <c r="P12" s="5"/>
    </row>
    <row r="13" spans="1:16" ht="31.5" x14ac:dyDescent="0.5">
      <c r="A13" s="5"/>
      <c r="B13" s="6"/>
      <c r="C13" s="6"/>
      <c r="D13" s="6"/>
      <c r="E13" s="6"/>
      <c r="F13" s="6"/>
      <c r="G13" s="6"/>
      <c r="H13" s="6"/>
      <c r="I13" s="6"/>
      <c r="J13" s="6"/>
      <c r="K13" s="6"/>
      <c r="L13" s="6"/>
      <c r="M13" s="7"/>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t="s">
        <v>6</v>
      </c>
      <c r="E15" s="5"/>
      <c r="F15" s="5"/>
      <c r="G15" s="5"/>
      <c r="H15" s="5"/>
      <c r="I15" s="5"/>
      <c r="J15" s="5"/>
      <c r="K15" s="5"/>
      <c r="L15" s="5"/>
      <c r="M15" s="5"/>
      <c r="N15" s="5"/>
      <c r="O15" s="5"/>
      <c r="P15" s="5"/>
    </row>
    <row r="16" spans="1:16" x14ac:dyDescent="0.25">
      <c r="A16" s="5"/>
      <c r="B16" s="5"/>
      <c r="C16" s="5"/>
      <c r="D16" s="5"/>
      <c r="E16" s="5"/>
      <c r="F16" s="5"/>
      <c r="G16" s="5"/>
      <c r="H16" s="5"/>
      <c r="I16" s="5"/>
      <c r="J16" s="5"/>
      <c r="K16" s="5"/>
      <c r="L16" s="5"/>
      <c r="M16" s="5"/>
      <c r="N16" s="5"/>
      <c r="O16" s="5"/>
      <c r="P16" s="5"/>
    </row>
    <row r="17" spans="1:16" x14ac:dyDescent="0.25">
      <c r="A17" s="5"/>
      <c r="B17" s="5"/>
      <c r="C17" s="5"/>
      <c r="D17" s="5"/>
      <c r="E17" s="5"/>
      <c r="F17" s="5"/>
      <c r="G17" s="5"/>
      <c r="H17" s="5"/>
      <c r="I17" s="5"/>
      <c r="J17" s="5"/>
      <c r="K17" s="5"/>
      <c r="L17" s="5"/>
      <c r="M17" s="5"/>
      <c r="N17" s="5"/>
      <c r="O17" s="5"/>
      <c r="P17" s="5"/>
    </row>
    <row r="18" spans="1:16" x14ac:dyDescent="0.25">
      <c r="A18" s="5"/>
      <c r="B18" s="5"/>
      <c r="C18" s="5"/>
      <c r="D18" s="5"/>
      <c r="E18" s="5"/>
      <c r="F18" s="5"/>
      <c r="G18" s="5"/>
      <c r="H18" s="5"/>
      <c r="I18" s="5"/>
      <c r="J18" s="5"/>
      <c r="K18" s="5"/>
      <c r="L18" s="5"/>
      <c r="M18" s="5"/>
      <c r="N18" s="5"/>
      <c r="O18" s="5"/>
      <c r="P18" s="5"/>
    </row>
    <row r="19" spans="1:16" x14ac:dyDescent="0.25">
      <c r="A19" s="5"/>
      <c r="B19" s="5"/>
      <c r="C19" s="5"/>
      <c r="D19" s="8" t="s">
        <v>11</v>
      </c>
      <c r="E19" s="9"/>
      <c r="F19" s="9"/>
      <c r="G19" s="9"/>
      <c r="H19" s="9"/>
      <c r="I19" s="9"/>
      <c r="J19" s="9"/>
      <c r="K19" s="9"/>
      <c r="L19" s="9"/>
      <c r="M19" s="9"/>
      <c r="N19" s="5"/>
      <c r="O19" s="5"/>
      <c r="P19"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572A41F-EB86-45AC-96D3-0D7C49B25D59}">
  <ds:schemaRefs/>
</ds:datastoreItem>
</file>

<file path=customXml/itemProps2.xml><?xml version="1.0" encoding="utf-8"?>
<ds:datastoreItem xmlns:ds="http://schemas.openxmlformats.org/officeDocument/2006/customXml" ds:itemID="{5689F672-5599-4F37-ABCE-5042BF6FDCBE}">
  <ds:schemaRefs/>
</ds:datastoreItem>
</file>

<file path=customXml/itemProps3.xml><?xml version="1.0" encoding="utf-8"?>
<ds:datastoreItem xmlns:ds="http://schemas.openxmlformats.org/officeDocument/2006/customXml" ds:itemID="{2B38EDE5-2305-486B-B4BE-3AE3A4A16E91}">
  <ds:schemaRefs/>
</ds:datastoreItem>
</file>

<file path=customXml/itemProps4.xml><?xml version="1.0" encoding="utf-8"?>
<ds:datastoreItem xmlns:ds="http://schemas.openxmlformats.org/officeDocument/2006/customXml" ds:itemID="{2A32752C-DE14-41CB-8777-E8E128161BD6}">
  <ds:schemaRefs/>
</ds:datastoreItem>
</file>

<file path=customXml/itemProps5.xml><?xml version="1.0" encoding="utf-8"?>
<ds:datastoreItem xmlns:ds="http://schemas.openxmlformats.org/officeDocument/2006/customXml" ds:itemID="{69BDD444-13CF-4011-BB46-A92673DDF676}">
  <ds:schemaRefs/>
</ds:datastoreItem>
</file>

<file path=customXml/itemProps6.xml><?xml version="1.0" encoding="utf-8"?>
<ds:datastoreItem xmlns:ds="http://schemas.openxmlformats.org/officeDocument/2006/customXml" ds:itemID="{444EEE55-1CBE-479C-8776-EB72202D151C}">
  <ds:schemaRefs/>
</ds:datastoreItem>
</file>

<file path=customXml/itemProps7.xml><?xml version="1.0" encoding="utf-8"?>
<ds:datastoreItem xmlns:ds="http://schemas.openxmlformats.org/officeDocument/2006/customXml" ds:itemID="{F0933364-F57A-4E33-9A61-65251B3FF216}">
  <ds:schemaRefs/>
</ds:datastoreItem>
</file>

<file path=customXml/itemProps8.xml><?xml version="1.0" encoding="utf-8"?>
<ds:datastoreItem xmlns:ds="http://schemas.openxmlformats.org/officeDocument/2006/customXml" ds:itemID="{30E82B6E-A477-4490-A1B2-7B21EB6FD62B}">
  <ds:schemaRefs/>
</ds:datastoreItem>
</file>

<file path=customXml/itemProps9.xml><?xml version="1.0" encoding="utf-8"?>
<ds:datastoreItem xmlns:ds="http://schemas.openxmlformats.org/officeDocument/2006/customXml" ds:itemID="{A9E1FD4A-3B44-48ED-963D-7B95A0053E8E}">
  <ds:schemaRefs/>
</ds:datastoreItem>
</file>

<file path=customXml/itemProps10.xml><?xml version="1.0" encoding="utf-8"?>
<ds:datastoreItem xmlns:ds="http://schemas.openxmlformats.org/officeDocument/2006/customXml" ds:itemID="{33E92BD1-76C1-46E6-82E3-BD9DB967F125}">
  <ds:schemaRefs/>
</ds:datastoreItem>
</file>

<file path=customXml/itemProps11.xml><?xml version="1.0" encoding="utf-8"?>
<ds:datastoreItem xmlns:ds="http://schemas.openxmlformats.org/officeDocument/2006/customXml" ds:itemID="{41088376-DF74-496C-AF3B-8427E81DB126}">
  <ds:schemaRefs/>
</ds:datastoreItem>
</file>

<file path=customXml/itemProps12.xml><?xml version="1.0" encoding="utf-8"?>
<ds:datastoreItem xmlns:ds="http://schemas.openxmlformats.org/officeDocument/2006/customXml" ds:itemID="{C22BDBC2-DD47-4A0B-B349-71B33657BACA}">
  <ds:schemaRefs/>
</ds:datastoreItem>
</file>

<file path=customXml/itemProps13.xml><?xml version="1.0" encoding="utf-8"?>
<ds:datastoreItem xmlns:ds="http://schemas.openxmlformats.org/officeDocument/2006/customXml" ds:itemID="{0AFA1DF2-F6C0-4713-A6A3-0BD0CA17E9DD}">
  <ds:schemaRefs>
    <ds:schemaRef ds:uri="http://schemas.microsoft.com/DataMashup"/>
  </ds:schemaRefs>
</ds:datastoreItem>
</file>

<file path=customXml/itemProps14.xml><?xml version="1.0" encoding="utf-8"?>
<ds:datastoreItem xmlns:ds="http://schemas.openxmlformats.org/officeDocument/2006/customXml" ds:itemID="{992E2B5A-D70C-4ECC-8691-D43BCA1E84F6}">
  <ds:schemaRefs/>
</ds:datastoreItem>
</file>

<file path=customXml/itemProps15.xml><?xml version="1.0" encoding="utf-8"?>
<ds:datastoreItem xmlns:ds="http://schemas.openxmlformats.org/officeDocument/2006/customXml" ds:itemID="{5752C5E2-94D7-4972-A9CA-47D72F790BF3}">
  <ds:schemaRefs/>
</ds:datastoreItem>
</file>

<file path=customXml/itemProps16.xml><?xml version="1.0" encoding="utf-8"?>
<ds:datastoreItem xmlns:ds="http://schemas.openxmlformats.org/officeDocument/2006/customXml" ds:itemID="{6F83F101-1461-40B5-8471-94E3F8DEAC44}">
  <ds:schemaRefs/>
</ds:datastoreItem>
</file>

<file path=customXml/itemProps17.xml><?xml version="1.0" encoding="utf-8"?>
<ds:datastoreItem xmlns:ds="http://schemas.openxmlformats.org/officeDocument/2006/customXml" ds:itemID="{FF6E8306-21D2-41E6-9F93-1B244C999274}">
  <ds:schemaRefs/>
</ds:datastoreItem>
</file>

<file path=customXml/itemProps18.xml><?xml version="1.0" encoding="utf-8"?>
<ds:datastoreItem xmlns:ds="http://schemas.openxmlformats.org/officeDocument/2006/customXml" ds:itemID="{A74714A3-A899-4119-A395-43265D83F5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satisfaction score</vt:lpstr>
      <vt:lpstr>Average wait time daily trend</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R KUMAR</dc:creator>
  <cp:lastModifiedBy>H R KUMAR</cp:lastModifiedBy>
  <dcterms:created xsi:type="dcterms:W3CDTF">2025-12-31T14:52:52Z</dcterms:created>
  <dcterms:modified xsi:type="dcterms:W3CDTF">2026-01-01T13:54:26Z</dcterms:modified>
</cp:coreProperties>
</file>